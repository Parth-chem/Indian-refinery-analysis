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0EC4FCA-B7BF-491B-AE1E-A7DCE92C233F}" xr6:coauthVersionLast="47" xr6:coauthVersionMax="47" xr10:uidLastSave="{00000000-0000-0000-0000-000000000000}"/>
  <bookViews>
    <workbookView xWindow="-120" yWindow="-120" windowWidth="20730" windowHeight="11760" xr2:uid="{0F6660D4-4399-435C-AF91-9A4245AFC873}"/>
  </bookViews>
  <sheets>
    <sheet name="PT_CRUDE_H" sheetId="1" r:id="rId1"/>
    <sheet name="Monthwise 2024-25 (P)" sheetId="22" r:id="rId2"/>
    <sheet name="Monthwise 2023-24 (P)" sheetId="21" r:id="rId3"/>
    <sheet name="Monthwise 2022-23" sheetId="20" r:id="rId4"/>
    <sheet name="Monthwise 2021-22 " sheetId="18" r:id="rId5"/>
    <sheet name="Monthwise 2020-21" sheetId="17" r:id="rId6"/>
    <sheet name="Monthwise 2019-20" sheetId="16" r:id="rId7"/>
    <sheet name="Monthwise 2018-19" sheetId="15" r:id="rId8"/>
    <sheet name="Monthwise 2017-18" sheetId="14" r:id="rId9"/>
    <sheet name="Monthwise 2016-17 " sheetId="12" r:id="rId10"/>
    <sheet name="Monthwise 2015-16" sheetId="13" r:id="rId11"/>
    <sheet name="Monthwise 2014-15" sheetId="9" r:id="rId12"/>
    <sheet name="Monthwise 2013-14" sheetId="7" r:id="rId13"/>
    <sheet name="Monthwise 2012-13" sheetId="5" r:id="rId14"/>
    <sheet name="Monthwise 2011-12" sheetId="3" r:id="rId15"/>
    <sheet name="Monthwise 2010-11" sheetId="8" r:id="rId16"/>
  </sheets>
  <definedNames>
    <definedName name="\a" localSheetId="15">#REF!</definedName>
    <definedName name="\a" localSheetId="13">#REF!</definedName>
    <definedName name="\a" localSheetId="12">#REF!</definedName>
    <definedName name="\a">#REF!</definedName>
    <definedName name="\I">#REF!</definedName>
    <definedName name="\P">#REF!</definedName>
    <definedName name="_______________________________PG8">#REF!</definedName>
    <definedName name="______________________________PG8">#REF!</definedName>
    <definedName name="_____________________________PG8" localSheetId="10">#REF!</definedName>
    <definedName name="_____________________________PG8" localSheetId="9">#REF!</definedName>
    <definedName name="_____________________________PG8">#REF!</definedName>
    <definedName name="____________________________PG8" localSheetId="10">#REF!</definedName>
    <definedName name="____________________________PG8" localSheetId="9">#REF!</definedName>
    <definedName name="____________________________PG8">#REF!</definedName>
    <definedName name="___________________________PG8" localSheetId="10">#REF!</definedName>
    <definedName name="___________________________PG8" localSheetId="9">#REF!</definedName>
    <definedName name="___________________________PG8">#REF!</definedName>
    <definedName name="__________________________PG8" localSheetId="10">#REF!</definedName>
    <definedName name="__________________________PG8" localSheetId="9">#REF!</definedName>
    <definedName name="__________________________PG8">#REF!</definedName>
    <definedName name="_________________________PG8" localSheetId="10">#REF!</definedName>
    <definedName name="_________________________PG8" localSheetId="9">#REF!</definedName>
    <definedName name="_________________________PG8">#REF!</definedName>
    <definedName name="________________________PG8" localSheetId="10">#REF!</definedName>
    <definedName name="________________________PG8" localSheetId="9">#REF!</definedName>
    <definedName name="________________________PG8">#REF!</definedName>
    <definedName name="_______________________PG8" localSheetId="10">#REF!</definedName>
    <definedName name="_______________________PG8" localSheetId="9">#REF!</definedName>
    <definedName name="_______________________PG8">#REF!</definedName>
    <definedName name="______________________PG8" localSheetId="10">#REF!</definedName>
    <definedName name="______________________PG8" localSheetId="9">#REF!</definedName>
    <definedName name="______________________PG8">#REF!</definedName>
    <definedName name="_____________________PG8" localSheetId="10">#REF!</definedName>
    <definedName name="_____________________PG8" localSheetId="9">#REF!</definedName>
    <definedName name="_____________________PG8">#REF!</definedName>
    <definedName name="____________________PG8" localSheetId="10">#REF!</definedName>
    <definedName name="____________________PG8" localSheetId="9">#REF!</definedName>
    <definedName name="____________________PG8">#REF!</definedName>
    <definedName name="___________________PG8" localSheetId="10">#REF!</definedName>
    <definedName name="___________________PG8" localSheetId="9">#REF!</definedName>
    <definedName name="___________________PG8">#REF!</definedName>
    <definedName name="__________________PG8" localSheetId="10">#REF!</definedName>
    <definedName name="__________________PG8" localSheetId="9">#REF!</definedName>
    <definedName name="__________________PG8">#REF!</definedName>
    <definedName name="_________________PG8" localSheetId="10">#REF!</definedName>
    <definedName name="_________________PG8" localSheetId="9">#REF!</definedName>
    <definedName name="_________________PG8">#REF!</definedName>
    <definedName name="________________PG8" localSheetId="10">#REF!</definedName>
    <definedName name="________________PG8" localSheetId="9">#REF!</definedName>
    <definedName name="________________PG8">#REF!</definedName>
    <definedName name="_______________PG8" localSheetId="10">#REF!</definedName>
    <definedName name="_______________PG8" localSheetId="9">#REF!</definedName>
    <definedName name="_______________PG8">#REF!</definedName>
    <definedName name="______________PG8" localSheetId="10">#REF!</definedName>
    <definedName name="______________PG8" localSheetId="9">#REF!</definedName>
    <definedName name="______________PG8">#REF!</definedName>
    <definedName name="_____________PG8" localSheetId="10">#REF!</definedName>
    <definedName name="_____________PG8" localSheetId="9">#REF!</definedName>
    <definedName name="_____________PG8">#REF!</definedName>
    <definedName name="____________PG8" localSheetId="10">#REF!</definedName>
    <definedName name="____________PG8" localSheetId="9">#REF!</definedName>
    <definedName name="____________PG8">#REF!</definedName>
    <definedName name="___________PG8" localSheetId="10">#REF!</definedName>
    <definedName name="___________PG8" localSheetId="9">#REF!</definedName>
    <definedName name="___________PG8">#REF!</definedName>
    <definedName name="__________PG8" localSheetId="10">#REF!</definedName>
    <definedName name="__________PG8" localSheetId="9">#REF!</definedName>
    <definedName name="__________PG8">#REF!</definedName>
    <definedName name="_________PG8" localSheetId="10">#REF!</definedName>
    <definedName name="_________PG8" localSheetId="9">#REF!</definedName>
    <definedName name="_________PG8">#REF!</definedName>
    <definedName name="________PG8" localSheetId="10">#REF!</definedName>
    <definedName name="________PG8" localSheetId="9">#REF!</definedName>
    <definedName name="________PG8">#REF!</definedName>
    <definedName name="_______PG8" localSheetId="10">#REF!</definedName>
    <definedName name="_______PG8" localSheetId="9">#REF!</definedName>
    <definedName name="_______PG8">#REF!</definedName>
    <definedName name="______PG8" localSheetId="10">#REF!</definedName>
    <definedName name="______PG8" localSheetId="9">#REF!</definedName>
    <definedName name="______PG8">#REF!</definedName>
    <definedName name="_____PG8" localSheetId="10">#REF!</definedName>
    <definedName name="_____PG8" localSheetId="9">#REF!</definedName>
    <definedName name="_____PG8">#REF!</definedName>
    <definedName name="____PG8" localSheetId="10">#REF!</definedName>
    <definedName name="____PG8" localSheetId="9">#REF!</definedName>
    <definedName name="____PG8">#REF!</definedName>
    <definedName name="___PG8" localSheetId="10">#REF!</definedName>
    <definedName name="___PG8" localSheetId="9">#REF!</definedName>
    <definedName name="___PG8">#REF!</definedName>
    <definedName name="__PG8" localSheetId="10">#REF!</definedName>
    <definedName name="__PG8" localSheetId="9">#REF!</definedName>
    <definedName name="__PG8" localSheetId="7">#REF!</definedName>
    <definedName name="__PG8">#REF!</definedName>
    <definedName name="__rtp29" localSheetId="15">#REF!</definedName>
    <definedName name="__rtp29" localSheetId="13">#REF!</definedName>
    <definedName name="__rtp29" localSheetId="12">#REF!</definedName>
    <definedName name="__rtp29">#REF!</definedName>
    <definedName name="_1998_1999" localSheetId="15">#REF!</definedName>
    <definedName name="_1998_1999" localSheetId="13">#REF!</definedName>
    <definedName name="_1998_1999" localSheetId="12">#REF!</definedName>
    <definedName name="_1998_1999">#REF!</definedName>
    <definedName name="_1999_0000" localSheetId="15">#REF!</definedName>
    <definedName name="_1999_0000" localSheetId="13">#REF!</definedName>
    <definedName name="_1999_0000" localSheetId="12">#REF!</definedName>
    <definedName name="_1999_0000">#REF!</definedName>
    <definedName name="_1999_2000" localSheetId="15">#REF!</definedName>
    <definedName name="_1999_2000" localSheetId="13">#REF!</definedName>
    <definedName name="_1999_2000" localSheetId="12">#REF!</definedName>
    <definedName name="_1999_2000">#REF!</definedName>
    <definedName name="_2000_2001" localSheetId="15">#REF!</definedName>
    <definedName name="_2000_2001" localSheetId="13">#REF!</definedName>
    <definedName name="_2000_2001" localSheetId="12">#REF!</definedName>
    <definedName name="_2000_2001">#REF!</definedName>
    <definedName name="_2000_2002" localSheetId="15">#REF!</definedName>
    <definedName name="_2000_2002" localSheetId="13">#REF!</definedName>
    <definedName name="_2000_2002" localSheetId="12">#REF!</definedName>
    <definedName name="_2000_2002">#REF!</definedName>
    <definedName name="_2001_2002" localSheetId="15">#REF!</definedName>
    <definedName name="_2001_2002" localSheetId="13">#REF!</definedName>
    <definedName name="_2001_2002" localSheetId="12">#REF!</definedName>
    <definedName name="_2001_2002">#REF!</definedName>
    <definedName name="_94_95RE" localSheetId="15">#REF!</definedName>
    <definedName name="_94_95RE" localSheetId="13">#REF!</definedName>
    <definedName name="_94_95RE" localSheetId="12">#REF!</definedName>
    <definedName name="_94_95RE">#REF!</definedName>
    <definedName name="_95_96BE" localSheetId="15">#REF!</definedName>
    <definedName name="_95_96BE" localSheetId="13">#REF!</definedName>
    <definedName name="_95_96BE" localSheetId="12">#REF!</definedName>
    <definedName name="_95_96BE">#REF!</definedName>
    <definedName name="_9596ACT_OH" localSheetId="15">#REF!</definedName>
    <definedName name="_9596ACT_OH" localSheetId="13">#REF!</definedName>
    <definedName name="_9596ACT_OH" localSheetId="12">#REF!</definedName>
    <definedName name="_9596ACT_OH">#REF!</definedName>
    <definedName name="_9697BE_OH" localSheetId="15">#REF!</definedName>
    <definedName name="_9697BE_OH" localSheetId="13">#REF!</definedName>
    <definedName name="_9697BE_OH" localSheetId="12">#REF!</definedName>
    <definedName name="_9697BE_OH">#REF!</definedName>
    <definedName name="_9697RE_CALC" localSheetId="15">#REF!</definedName>
    <definedName name="_9697RE_CALC" localSheetId="13">#REF!</definedName>
    <definedName name="_9697RE_CALC" localSheetId="12">#REF!</definedName>
    <definedName name="_9697RE_CALC">#REF!</definedName>
    <definedName name="_9798_BEOH" localSheetId="15">#REF!</definedName>
    <definedName name="_9798_BEOH" localSheetId="13">#REF!</definedName>
    <definedName name="_9798_BEOH" localSheetId="12">#REF!</definedName>
    <definedName name="_9798_BEOH">#REF!</definedName>
    <definedName name="_9798BECALC" localSheetId="15">#REF!</definedName>
    <definedName name="_9798BECALC" localSheetId="13">#REF!</definedName>
    <definedName name="_9798BECALC" localSheetId="12">#REF!</definedName>
    <definedName name="_9798BECALC">#REF!</definedName>
    <definedName name="_Fill" localSheetId="15" hidden="1">#REF!</definedName>
    <definedName name="_Fill" localSheetId="13" hidden="1">#REF!</definedName>
    <definedName name="_Fill" localSheetId="12" hidden="1">#REF!</definedName>
    <definedName name="_Fill" hidden="1">#REF!</definedName>
    <definedName name="_Key1" localSheetId="15" hidden="1">#REF!</definedName>
    <definedName name="_Key1" localSheetId="13" hidden="1">#REF!</definedName>
    <definedName name="_Key1" localSheetId="12" hidden="1">#REF!</definedName>
    <definedName name="_Key1" hidden="1">#REF!</definedName>
    <definedName name="_NEW1" localSheetId="15">#REF!</definedName>
    <definedName name="_NEW1" localSheetId="13">#REF!</definedName>
    <definedName name="_NEW1" localSheetId="12">#REF!</definedName>
    <definedName name="_NEW1">#REF!</definedName>
    <definedName name="_NEW2" localSheetId="15">#REF!</definedName>
    <definedName name="_NEW2" localSheetId="13">#REF!</definedName>
    <definedName name="_NEW2" localSheetId="12">#REF!</definedName>
    <definedName name="_NEW2">#REF!</definedName>
    <definedName name="_Order1" hidden="1">255</definedName>
    <definedName name="_PG8" localSheetId="13">#REF!</definedName>
    <definedName name="_PG8" localSheetId="12">#REF!</definedName>
    <definedName name="_PG8" localSheetId="10">#REF!</definedName>
    <definedName name="_PG8" localSheetId="9">#REF!</definedName>
    <definedName name="_PG8" localSheetId="7">#REF!</definedName>
    <definedName name="_PG8">#REF!</definedName>
    <definedName name="_Sort" localSheetId="15" hidden="1">#REF!</definedName>
    <definedName name="_Sort" localSheetId="13" hidden="1">#REF!</definedName>
    <definedName name="_Sort" localSheetId="12" hidden="1">#REF!</definedName>
    <definedName name="_Sort" hidden="1">#REF!</definedName>
    <definedName name="_Table2_In1" localSheetId="15" hidden="1">#REF!</definedName>
    <definedName name="_Table2_In1" localSheetId="13" hidden="1">#REF!</definedName>
    <definedName name="_Table2_In1" localSheetId="12" hidden="1">#REF!</definedName>
    <definedName name="_Table2_In1" hidden="1">#REF!</definedName>
    <definedName name="_Table2_Out" localSheetId="15" hidden="1">#REF!</definedName>
    <definedName name="_Table2_Out" localSheetId="13" hidden="1">#REF!</definedName>
    <definedName name="_Table2_Out" localSheetId="12" hidden="1">#REF!</definedName>
    <definedName name="_Table2_Out" hidden="1">#REF!</definedName>
    <definedName name="a" localSheetId="15" hidden="1">{#N/A,#N/A,FALSE,"F-YLDS";#N/A,#N/A,FALSE,"ASP";#N/A,#N/A,FALSE,"FRPRD"}</definedName>
    <definedName name="a" localSheetId="13" hidden="1">{#N/A,#N/A,FALSE,"F-YLDS";#N/A,#N/A,FALSE,"ASP";#N/A,#N/A,FALSE,"FRPRD"}</definedName>
    <definedName name="a" localSheetId="12" hidden="1">{#N/A,#N/A,FALSE,"F-YLDS";#N/A,#N/A,FALSE,"ASP";#N/A,#N/A,FALSE,"FRPRD"}</definedName>
    <definedName name="a" hidden="1">{#N/A,#N/A,FALSE,"F-YLDS";#N/A,#N/A,FALSE,"ASP";#N/A,#N/A,FALSE,"FRPRD"}</definedName>
    <definedName name="aa" localSheetId="13">#REF!</definedName>
    <definedName name="aa" localSheetId="12">#REF!</definedName>
    <definedName name="aa" localSheetId="7">#REF!</definedName>
    <definedName name="aa">#REF!</definedName>
    <definedName name="ab">#REF!</definedName>
    <definedName name="abc" localSheetId="15" hidden="1">#REF!</definedName>
    <definedName name="abc" localSheetId="13" hidden="1">#REF!</definedName>
    <definedName name="abc" localSheetId="12" hidden="1">#REF!</definedName>
    <definedName name="abc" hidden="1">#REF!</definedName>
    <definedName name="actual9899" localSheetId="15">#REF!</definedName>
    <definedName name="actual9899" localSheetId="13">#REF!</definedName>
    <definedName name="actual9899" localSheetId="12">#REF!</definedName>
    <definedName name="actual9899">#REF!</definedName>
    <definedName name="alloc_LR" localSheetId="15">#REF!</definedName>
    <definedName name="alloc_LR" localSheetId="13">#REF!</definedName>
    <definedName name="alloc_LR" localSheetId="12">#REF!</definedName>
    <definedName name="alloc_LR">#REF!</definedName>
    <definedName name="Ankleshwar">#REF!</definedName>
    <definedName name="aq" localSheetId="15" hidden="1">{#N/A,#N/A,FALSE,"FRPRD"}</definedName>
    <definedName name="aq" localSheetId="13" hidden="1">{#N/A,#N/A,FALSE,"FRPRD"}</definedName>
    <definedName name="aq" localSheetId="12" hidden="1">{#N/A,#N/A,FALSE,"FRPRD"}</definedName>
    <definedName name="aq" hidden="1">{#N/A,#N/A,FALSE,"FRPRD"}</definedName>
    <definedName name="asd">#REF!</definedName>
    <definedName name="ASSUMPTIONS" localSheetId="13">#REF!</definedName>
    <definedName name="ASSUMPTIONS" localSheetId="12">#REF!</definedName>
    <definedName name="ASSUMPTIONS">#REF!</definedName>
    <definedName name="ATT_XII" localSheetId="15">#REF!</definedName>
    <definedName name="ATT_XII" localSheetId="13">#REF!</definedName>
    <definedName name="ATT_XII" localSheetId="12">#REF!</definedName>
    <definedName name="ATT_XII">#REF!</definedName>
    <definedName name="ATTXVI" localSheetId="15">#REF!</definedName>
    <definedName name="ATTXVI" localSheetId="13">#REF!</definedName>
    <definedName name="ATTXVI" localSheetId="12">#REF!</definedName>
    <definedName name="ATTXVI">#REF!</definedName>
    <definedName name="b" localSheetId="15" hidden="1">{#N/A,#N/A,FALSE,"F-YLDS";#N/A,#N/A,FALSE,"ASP";#N/A,#N/A,FALSE,"FRPRD"}</definedName>
    <definedName name="b" localSheetId="13" hidden="1">{#N/A,#N/A,FALSE,"F-YLDS";#N/A,#N/A,FALSE,"ASP";#N/A,#N/A,FALSE,"FRPRD"}</definedName>
    <definedName name="b" localSheetId="12" hidden="1">{#N/A,#N/A,FALSE,"F-YLDS";#N/A,#N/A,FALSE,"ASP";#N/A,#N/A,FALSE,"FRPRD"}</definedName>
    <definedName name="b" hidden="1">{#N/A,#N/A,FALSE,"F-YLDS";#N/A,#N/A,FALSE,"ASP";#N/A,#N/A,FALSE,"FRPRD"}</definedName>
    <definedName name="BASIS" localSheetId="15">#REF!</definedName>
    <definedName name="BASIS" localSheetId="13">#REF!</definedName>
    <definedName name="BASIS" localSheetId="12">#REF!</definedName>
    <definedName name="BASIS">#REF!</definedName>
    <definedName name="BE" localSheetId="15">#REF!</definedName>
    <definedName name="BE" localSheetId="13">#REF!</definedName>
    <definedName name="BE" localSheetId="12">#REF!</definedName>
    <definedName name="BE">#REF!</definedName>
    <definedName name="BE_CHEM" localSheetId="15">#REF!</definedName>
    <definedName name="BE_CHEM" localSheetId="13">#REF!</definedName>
    <definedName name="BE_CHEM" localSheetId="12">#REF!</definedName>
    <definedName name="BE_CHEM">#REF!</definedName>
    <definedName name="bemargin9900" localSheetId="15">#REF!</definedName>
    <definedName name="bemargin9900" localSheetId="13">#REF!</definedName>
    <definedName name="bemargin9900" localSheetId="12">#REF!</definedName>
    <definedName name="bemargin9900">#REF!</definedName>
    <definedName name="CATALYST" localSheetId="15">#REF!</definedName>
    <definedName name="CATALYST" localSheetId="13">#REF!</definedName>
    <definedName name="CATALYST" localSheetId="12">#REF!</definedName>
    <definedName name="CATALYST">#REF!</definedName>
    <definedName name="CAUSTIC" localSheetId="15">#REF!</definedName>
    <definedName name="CAUSTIC" localSheetId="13">#REF!</definedName>
    <definedName name="CAUSTIC" localSheetId="12">#REF!</definedName>
    <definedName name="CAUSTIC">#REF!</definedName>
    <definedName name="cd" localSheetId="15" hidden="1">{#N/A,#N/A,FALSE,"FRPRD"}</definedName>
    <definedName name="cd" localSheetId="13" hidden="1">{#N/A,#N/A,FALSE,"FRPRD"}</definedName>
    <definedName name="cd" localSheetId="12" hidden="1">{#N/A,#N/A,FALSE,"FRPRD"}</definedName>
    <definedName name="cd" hidden="1">{#N/A,#N/A,FALSE,"FRPRD"}</definedName>
    <definedName name="CHARTLR" localSheetId="15">#REF!</definedName>
    <definedName name="CHARTLR" localSheetId="13">#REF!</definedName>
    <definedName name="CHARTLR" localSheetId="12">#REF!</definedName>
    <definedName name="CHARTLR">#REF!</definedName>
    <definedName name="CheckList" localSheetId="15">#REF!</definedName>
    <definedName name="CheckList" localSheetId="13">#REF!</definedName>
    <definedName name="CheckList" localSheetId="12">#REF!</definedName>
    <definedName name="CheckList">#REF!</definedName>
    <definedName name="CHEM_BE" localSheetId="15">#REF!</definedName>
    <definedName name="CHEM_BE" localSheetId="13">#REF!</definedName>
    <definedName name="CHEM_BE" localSheetId="12">#REF!</definedName>
    <definedName name="CHEM_BE">#REF!</definedName>
    <definedName name="CHEM_RE" localSheetId="15">#REF!</definedName>
    <definedName name="CHEM_RE" localSheetId="13">#REF!</definedName>
    <definedName name="CHEM_RE" localSheetId="12">#REF!</definedName>
    <definedName name="CHEM_RE">#REF!</definedName>
    <definedName name="CHEMICAL">#REF!</definedName>
    <definedName name="chemicals" localSheetId="15">#REF!</definedName>
    <definedName name="chemicals" localSheetId="13">#REF!</definedName>
    <definedName name="chemicals" localSheetId="12">#REF!</definedName>
    <definedName name="chemicals">#REF!</definedName>
    <definedName name="CLOSINGSTOCKFR" localSheetId="15">#REF!</definedName>
    <definedName name="CLOSINGSTOCKFR" localSheetId="13">#REF!</definedName>
    <definedName name="CLOSINGSTOCKFR" localSheetId="12">#REF!</definedName>
    <definedName name="CLOSINGSTOCKFR">#REF!</definedName>
    <definedName name="COASTAL" localSheetId="15">#REF!</definedName>
    <definedName name="COASTAL" localSheetId="13">#REF!</definedName>
    <definedName name="COASTAL" localSheetId="12">#REF!</definedName>
    <definedName name="COASTAL">#REF!</definedName>
    <definedName name="conv_mogas92">#REF!</definedName>
    <definedName name="CPP" localSheetId="15">#REF!</definedName>
    <definedName name="CPP" localSheetId="13">#REF!</definedName>
    <definedName name="CPP" localSheetId="12">#REF!</definedName>
    <definedName name="CPP">#REF!</definedName>
    <definedName name="d" localSheetId="15" hidden="1">{#N/A,#N/A,FALSE,"F-YLDS";#N/A,#N/A,FALSE,"ASP";#N/A,#N/A,FALSE,"FRPRD"}</definedName>
    <definedName name="d" localSheetId="13" hidden="1">{#N/A,#N/A,FALSE,"F-YLDS";#N/A,#N/A,FALSE,"ASP";#N/A,#N/A,FALSE,"FRPRD"}</definedName>
    <definedName name="d" localSheetId="12" hidden="1">{#N/A,#N/A,FALSE,"F-YLDS";#N/A,#N/A,FALSE,"ASP";#N/A,#N/A,FALSE,"FRPRD"}</definedName>
    <definedName name="d" hidden="1">{#N/A,#N/A,FALSE,"F-YLDS";#N/A,#N/A,FALSE,"ASP";#N/A,#N/A,FALSE,"FRPRD"}</definedName>
    <definedName name="de">#REF!</definedName>
    <definedName name="df" localSheetId="15" hidden="1">{#N/A,#N/A,FALSE,"FRPRD"}</definedName>
    <definedName name="df" localSheetId="13" hidden="1">{#N/A,#N/A,FALSE,"FRPRD"}</definedName>
    <definedName name="df" localSheetId="12" hidden="1">{#N/A,#N/A,FALSE,"FRPRD"}</definedName>
    <definedName name="df" hidden="1">{#N/A,#N/A,FALSE,"FRPRD"}</definedName>
    <definedName name="DFWHOLE" localSheetId="15">#REF!</definedName>
    <definedName name="DFWHOLE" localSheetId="13">#REF!</definedName>
    <definedName name="DFWHOLE" localSheetId="12">#REF!</definedName>
    <definedName name="DFWHOLE">#REF!</definedName>
    <definedName name="DISP" localSheetId="15">#REF!</definedName>
    <definedName name="DISP" localSheetId="13">#REF!</definedName>
    <definedName name="DISP" localSheetId="12">#REF!</definedName>
    <definedName name="DISP">#REF!</definedName>
    <definedName name="DISP_M3" localSheetId="15">#REF!</definedName>
    <definedName name="DISP_M3" localSheetId="13">#REF!</definedName>
    <definedName name="DISP_M3" localSheetId="12">#REF!</definedName>
    <definedName name="DISP_M3">#REF!</definedName>
    <definedName name="Disposal" localSheetId="15">#REF!</definedName>
    <definedName name="Disposal" localSheetId="13">#REF!</definedName>
    <definedName name="Disposal" localSheetId="12">#REF!</definedName>
    <definedName name="Disposal">#REF!</definedName>
    <definedName name="DWA" localSheetId="15">#REF!</definedName>
    <definedName name="DWA" localSheetId="13">#REF!</definedName>
    <definedName name="DWA" localSheetId="12">#REF!</definedName>
    <definedName name="DWA">#REF!</definedName>
    <definedName name="e" localSheetId="15">{#N/A,#N/A,FALSE,"FRPRD"}</definedName>
    <definedName name="e" localSheetId="13">{#N/A,#N/A,FALSE,"FRPRD"}</definedName>
    <definedName name="e" localSheetId="12">{#N/A,#N/A,FALSE,"FRPRD"}</definedName>
    <definedName name="e">{#N/A,#N/A,FALSE,"FRPRD"}</definedName>
    <definedName name="ed" localSheetId="15" hidden="1">{#N/A,#N/A,FALSE,"FRPRD"}</definedName>
    <definedName name="ed" localSheetId="13" hidden="1">{#N/A,#N/A,FALSE,"FRPRD"}</definedName>
    <definedName name="ed" localSheetId="12" hidden="1">{#N/A,#N/A,FALSE,"FRPRD"}</definedName>
    <definedName name="ed" hidden="1">{#N/A,#N/A,FALSE,"FRPRD"}</definedName>
    <definedName name="ELEC_FR" localSheetId="15">#REF!</definedName>
    <definedName name="ELEC_FR" localSheetId="13">#REF!</definedName>
    <definedName name="ELEC_FR" localSheetId="12">#REF!</definedName>
    <definedName name="ELEC_FR">#REF!</definedName>
    <definedName name="ELEC_LR" localSheetId="15">#REF!</definedName>
    <definedName name="ELEC_LR" localSheetId="13">#REF!</definedName>
    <definedName name="ELEC_LR" localSheetId="12">#REF!</definedName>
    <definedName name="ELEC_LR">#REF!</definedName>
    <definedName name="ELECT" localSheetId="15">#REF!</definedName>
    <definedName name="ELECT" localSheetId="13">#REF!</definedName>
    <definedName name="ELECT" localSheetId="12">#REF!</definedName>
    <definedName name="ELECT">#REF!</definedName>
    <definedName name="ELECTRICITY" localSheetId="15">#REF!</definedName>
    <definedName name="ELECTRICITY" localSheetId="13">#REF!</definedName>
    <definedName name="ELECTRICITY" localSheetId="12">#REF!</definedName>
    <definedName name="ELECTRICITY">#REF!</definedName>
    <definedName name="elhsd" localSheetId="15">#REF!</definedName>
    <definedName name="elhsd" localSheetId="13">#REF!</definedName>
    <definedName name="elhsd" localSheetId="12">#REF!</definedName>
    <definedName name="elhsd">#REF!</definedName>
    <definedName name="er" localSheetId="15" hidden="1">{#N/A,#N/A,FALSE,"F-YLDS";#N/A,#N/A,FALSE,"ASP";#N/A,#N/A,FALSE,"FRPRD"}</definedName>
    <definedName name="er" localSheetId="13" hidden="1">{#N/A,#N/A,FALSE,"F-YLDS";#N/A,#N/A,FALSE,"ASP";#N/A,#N/A,FALSE,"FRPRD"}</definedName>
    <definedName name="er" localSheetId="12" hidden="1">{#N/A,#N/A,FALSE,"F-YLDS";#N/A,#N/A,FALSE,"ASP";#N/A,#N/A,FALSE,"FRPRD"}</definedName>
    <definedName name="er" hidden="1">{#N/A,#N/A,FALSE,"F-YLDS";#N/A,#N/A,FALSE,"ASP";#N/A,#N/A,FALSE,"FRPRD"}</definedName>
    <definedName name="Exp." localSheetId="15" hidden="1">{#N/A,#N/A,FALSE,"F-YLDS";#N/A,#N/A,FALSE,"ASP";#N/A,#N/A,FALSE,"FRPRD"}</definedName>
    <definedName name="Exp." localSheetId="13" hidden="1">{#N/A,#N/A,FALSE,"F-YLDS";#N/A,#N/A,FALSE,"ASP";#N/A,#N/A,FALSE,"FRPRD"}</definedName>
    <definedName name="Exp." localSheetId="12" hidden="1">{#N/A,#N/A,FALSE,"F-YLDS";#N/A,#N/A,FALSE,"ASP";#N/A,#N/A,FALSE,"FRPRD"}</definedName>
    <definedName name="Exp." hidden="1">{#N/A,#N/A,FALSE,"F-YLDS";#N/A,#N/A,FALSE,"ASP";#N/A,#N/A,FALSE,"FRPRD"}</definedName>
    <definedName name="f" localSheetId="15">{#N/A,#N/A,FALSE,"FRPRD"}</definedName>
    <definedName name="f" localSheetId="13">{#N/A,#N/A,FALSE,"FRPRD"}</definedName>
    <definedName name="f" localSheetId="12">{#N/A,#N/A,FALSE,"FRPRD"}</definedName>
    <definedName name="f">{#N/A,#N/A,FALSE,"FRPRD"}</definedName>
    <definedName name="F_YLDS" localSheetId="15">#REF!</definedName>
    <definedName name="F_YLDS" localSheetId="13">#REF!</definedName>
    <definedName name="F_YLDS" localSheetId="12">#REF!</definedName>
    <definedName name="F_YLDS">#REF!</definedName>
    <definedName name="FBE" localSheetId="15">#REF!</definedName>
    <definedName name="FBE" localSheetId="13">#REF!</definedName>
    <definedName name="FBE" localSheetId="12">#REF!</definedName>
    <definedName name="FBE">#REF!</definedName>
    <definedName name="fg" localSheetId="15" hidden="1">{#N/A,#N/A,FALSE,"FRPRD"}</definedName>
    <definedName name="fg" localSheetId="13" hidden="1">{#N/A,#N/A,FALSE,"FRPRD"}</definedName>
    <definedName name="fg" localSheetId="12" hidden="1">{#N/A,#N/A,FALSE,"FRPRD"}</definedName>
    <definedName name="fg" hidden="1">{#N/A,#N/A,FALSE,"FRPRD"}</definedName>
    <definedName name="FO" localSheetId="15">#REF!</definedName>
    <definedName name="FO" localSheetId="13">#REF!</definedName>
    <definedName name="FO" localSheetId="12">#REF!</definedName>
    <definedName name="FO">#REF!</definedName>
    <definedName name="FR">#N/A</definedName>
    <definedName name="FR_1" localSheetId="15">#REF!</definedName>
    <definedName name="FR_1" localSheetId="13">#REF!</definedName>
    <definedName name="FR_1" localSheetId="12">#REF!</definedName>
    <definedName name="FR_1">#REF!</definedName>
    <definedName name="FR_2" localSheetId="15">#REF!</definedName>
    <definedName name="FR_2" localSheetId="13">#REF!</definedName>
    <definedName name="FR_2" localSheetId="12">#REF!</definedName>
    <definedName name="FR_2">#REF!</definedName>
    <definedName name="FRCHEM" localSheetId="15">#REF!</definedName>
    <definedName name="FRCHEM" localSheetId="13">#REF!</definedName>
    <definedName name="FRCHEM" localSheetId="12">#REF!</definedName>
    <definedName name="FRCHEM">#REF!</definedName>
    <definedName name="FRCLSTOCK" localSheetId="15">#REF!</definedName>
    <definedName name="FRCLSTOCK" localSheetId="13">#REF!</definedName>
    <definedName name="FRCLSTOCK" localSheetId="12">#REF!</definedName>
    <definedName name="FRCLSTOCK">#REF!</definedName>
    <definedName name="FRE" localSheetId="15">#REF!</definedName>
    <definedName name="FRE" localSheetId="13">#REF!</definedName>
    <definedName name="FRE" localSheetId="12">#REF!</definedName>
    <definedName name="FRE">#REF!</definedName>
    <definedName name="FROPEX" localSheetId="15">#REF!</definedName>
    <definedName name="FROPEX" localSheetId="13">#REF!</definedName>
    <definedName name="FROPEX" localSheetId="12">#REF!</definedName>
    <definedName name="FROPEX">#REF!</definedName>
    <definedName name="FRPROD" localSheetId="15">#REF!</definedName>
    <definedName name="FRPROD" localSheetId="13">#REF!</definedName>
    <definedName name="FRPROD" localSheetId="12">#REF!</definedName>
    <definedName name="FRPROD">#REF!</definedName>
    <definedName name="FRSALES" localSheetId="15">#REF!</definedName>
    <definedName name="FRSALES" localSheetId="13">#REF!</definedName>
    <definedName name="FRSALES" localSheetId="12">#REF!</definedName>
    <definedName name="FRSALES">#REF!</definedName>
    <definedName name="FRWELFARE" localSheetId="15">#REF!</definedName>
    <definedName name="FRWELFARE" localSheetId="13">#REF!</definedName>
    <definedName name="FRWELFARE" localSheetId="12">#REF!</definedName>
    <definedName name="FRWELFARE">#REF!</definedName>
    <definedName name="g" localSheetId="15" hidden="1">{#N/A,#N/A,FALSE,"F-YLDS";#N/A,#N/A,FALSE,"ASP";#N/A,#N/A,FALSE,"FRPRD"}</definedName>
    <definedName name="g" localSheetId="13" hidden="1">{#N/A,#N/A,FALSE,"F-YLDS";#N/A,#N/A,FALSE,"ASP";#N/A,#N/A,FALSE,"FRPRD"}</definedName>
    <definedName name="g" localSheetId="12" hidden="1">{#N/A,#N/A,FALSE,"F-YLDS";#N/A,#N/A,FALSE,"ASP";#N/A,#N/A,FALSE,"FRPRD"}</definedName>
    <definedName name="g" hidden="1">{#N/A,#N/A,FALSE,"F-YLDS";#N/A,#N/A,FALSE,"ASP";#N/A,#N/A,FALSE,"FRPRD"}</definedName>
    <definedName name="gfd">#REF!</definedName>
    <definedName name="gggg" localSheetId="13">#REF!</definedName>
    <definedName name="gggg" localSheetId="12">#REF!</definedName>
    <definedName name="gggg">#REF!</definedName>
    <definedName name="ggggg">#REF!</definedName>
    <definedName name="gh" localSheetId="15" hidden="1">{#N/A,#N/A,FALSE,"F-YLDS";#N/A,#N/A,FALSE,"ASP";#N/A,#N/A,FALSE,"FRPRD"}</definedName>
    <definedName name="gh" localSheetId="13" hidden="1">{#N/A,#N/A,FALSE,"F-YLDS";#N/A,#N/A,FALSE,"ASP";#N/A,#N/A,FALSE,"FRPRD"}</definedName>
    <definedName name="gh" localSheetId="12" hidden="1">{#N/A,#N/A,FALSE,"F-YLDS";#N/A,#N/A,FALSE,"ASP";#N/A,#N/A,FALSE,"FRPRD"}</definedName>
    <definedName name="gh" hidden="1">{#N/A,#N/A,FALSE,"F-YLDS";#N/A,#N/A,FALSE,"ASP";#N/A,#N/A,FALSE,"FRPRD"}</definedName>
    <definedName name="h" localSheetId="15">{#N/A,#N/A,FALSE,"FRPRD"}</definedName>
    <definedName name="h" localSheetId="13">{#N/A,#N/A,FALSE,"FRPRD"}</definedName>
    <definedName name="h" localSheetId="12">{#N/A,#N/A,FALSE,"FRPRD"}</definedName>
    <definedName name="h">{#N/A,#N/A,FALSE,"FRPRD"}</definedName>
    <definedName name="Hazira">#REF!</definedName>
    <definedName name="hg" localSheetId="15" hidden="1">{#N/A,#N/A,FALSE,"F-YLDS";#N/A,#N/A,FALSE,"ASP";#N/A,#N/A,FALSE,"FRPRD"}</definedName>
    <definedName name="hg" localSheetId="13" hidden="1">{#N/A,#N/A,FALSE,"F-YLDS";#N/A,#N/A,FALSE,"ASP";#N/A,#N/A,FALSE,"FRPRD"}</definedName>
    <definedName name="hg" localSheetId="12" hidden="1">{#N/A,#N/A,FALSE,"F-YLDS";#N/A,#N/A,FALSE,"ASP";#N/A,#N/A,FALSE,"FRPRD"}</definedName>
    <definedName name="hg" hidden="1">{#N/A,#N/A,FALSE,"F-YLDS";#N/A,#N/A,FALSE,"ASP";#N/A,#N/A,FALSE,"FRPRD"}</definedName>
    <definedName name="hsd" localSheetId="15">#REF!</definedName>
    <definedName name="hsd" localSheetId="13">#REF!</definedName>
    <definedName name="hsd" localSheetId="12">#REF!</definedName>
    <definedName name="hsd">#REF!</definedName>
    <definedName name="i" localSheetId="15" hidden="1">{#N/A,#N/A,FALSE,"F-YLDS";#N/A,#N/A,FALSE,"ASP";#N/A,#N/A,FALSE,"FRPRD"}</definedName>
    <definedName name="i" localSheetId="13" hidden="1">{#N/A,#N/A,FALSE,"F-YLDS";#N/A,#N/A,FALSE,"ASP";#N/A,#N/A,FALSE,"FRPRD"}</definedName>
    <definedName name="i" localSheetId="12" hidden="1">{#N/A,#N/A,FALSE,"F-YLDS";#N/A,#N/A,FALSE,"ASP";#N/A,#N/A,FALSE,"FRPRD"}</definedName>
    <definedName name="i" hidden="1">{#N/A,#N/A,FALSE,"F-YLDS";#N/A,#N/A,FALSE,"ASP";#N/A,#N/A,FALSE,"FRPRD"}</definedName>
    <definedName name="IFO" localSheetId="15">#REF!</definedName>
    <definedName name="IFO" localSheetId="13">#REF!</definedName>
    <definedName name="IFO" localSheetId="12">#REF!</definedName>
    <definedName name="IFO">#REF!</definedName>
    <definedName name="ik" localSheetId="15" hidden="1">{#N/A,#N/A,FALSE,"FRPRD"}</definedName>
    <definedName name="ik" localSheetId="13" hidden="1">{#N/A,#N/A,FALSE,"FRPRD"}</definedName>
    <definedName name="ik" localSheetId="12" hidden="1">{#N/A,#N/A,FALSE,"FRPRD"}</definedName>
    <definedName name="ik" hidden="1">{#N/A,#N/A,FALSE,"FRPRD"}</definedName>
    <definedName name="Impact" localSheetId="15">#REF!</definedName>
    <definedName name="Impact" localSheetId="13">#REF!</definedName>
    <definedName name="Impact" localSheetId="12">#REF!</definedName>
    <definedName name="Impact">#REF!</definedName>
    <definedName name="INIT">#REF!</definedName>
    <definedName name="INLAND" localSheetId="15">#REF!</definedName>
    <definedName name="INLAND" localSheetId="13">#REF!</definedName>
    <definedName name="INLAND" localSheetId="12">#REF!</definedName>
    <definedName name="INLAND">#REF!</definedName>
    <definedName name="INPUTPARA" localSheetId="15">#REF!</definedName>
    <definedName name="INPUTPARA" localSheetId="13">#REF!</definedName>
    <definedName name="INPUTPARA" localSheetId="12">#REF!</definedName>
    <definedName name="INPUTPARA">#REF!</definedName>
    <definedName name="INSUR" localSheetId="15">#REF!</definedName>
    <definedName name="INSUR" localSheetId="13">#REF!</definedName>
    <definedName name="INSUR" localSheetId="12">#REF!</definedName>
    <definedName name="INSUR">#REF!</definedName>
    <definedName name="INSURANCE" localSheetId="15">#REF!</definedName>
    <definedName name="INSURANCE" localSheetId="13">#REF!</definedName>
    <definedName name="INSURANCE" localSheetId="12">#REF!</definedName>
    <definedName name="INSURANCE">#REF!</definedName>
    <definedName name="INTLWHOLE" localSheetId="15">#REF!</definedName>
    <definedName name="INTLWHOLE" localSheetId="13">#REF!</definedName>
    <definedName name="INTLWHOLE" localSheetId="12">#REF!</definedName>
    <definedName name="INTLWHOLE">#REF!</definedName>
    <definedName name="Inventory" localSheetId="15">#REF!</definedName>
    <definedName name="Inventory" localSheetId="13">#REF!</definedName>
    <definedName name="Inventory" localSheetId="12">#REF!</definedName>
    <definedName name="Inventory">#REF!</definedName>
    <definedName name="j" localSheetId="15" hidden="1">{#N/A,#N/A,FALSE,"FRPRD"}</definedName>
    <definedName name="j" localSheetId="13" hidden="1">{#N/A,#N/A,FALSE,"FRPRD"}</definedName>
    <definedName name="j" localSheetId="12" hidden="1">{#N/A,#N/A,FALSE,"FRPRD"}</definedName>
    <definedName name="j" hidden="1">{#N/A,#N/A,FALSE,"FRPRD"}</definedName>
    <definedName name="jc" localSheetId="15" hidden="1">{#N/A,#N/A,FALSE,"FRPRD"}</definedName>
    <definedName name="jc" localSheetId="13" hidden="1">{#N/A,#N/A,FALSE,"FRPRD"}</definedName>
    <definedName name="jc" localSheetId="12" hidden="1">{#N/A,#N/A,FALSE,"FRPRD"}</definedName>
    <definedName name="jc" hidden="1">{#N/A,#N/A,FALSE,"FRPRD"}</definedName>
    <definedName name="jhc" localSheetId="15" hidden="1">{#N/A,#N/A,FALSE,"F-YLDS";#N/A,#N/A,FALSE,"ASP";#N/A,#N/A,FALSE,"FRPRD"}</definedName>
    <definedName name="jhc" localSheetId="13" hidden="1">{#N/A,#N/A,FALSE,"F-YLDS";#N/A,#N/A,FALSE,"ASP";#N/A,#N/A,FALSE,"FRPRD"}</definedName>
    <definedName name="jhc" localSheetId="12" hidden="1">{#N/A,#N/A,FALSE,"F-YLDS";#N/A,#N/A,FALSE,"ASP";#N/A,#N/A,FALSE,"FRPRD"}</definedName>
    <definedName name="jhc" hidden="1">{#N/A,#N/A,FALSE,"F-YLDS";#N/A,#N/A,FALSE,"ASP";#N/A,#N/A,FALSE,"FRPRD"}</definedName>
    <definedName name="jk" localSheetId="15" hidden="1">{#N/A,#N/A,FALSE,"FRPRD"}</definedName>
    <definedName name="jk" localSheetId="13" hidden="1">{#N/A,#N/A,FALSE,"FRPRD"}</definedName>
    <definedName name="jk" localSheetId="12" hidden="1">{#N/A,#N/A,FALSE,"FRPRD"}</definedName>
    <definedName name="jk" hidden="1">{#N/A,#N/A,FALSE,"FRPRD"}</definedName>
    <definedName name="k" localSheetId="15" hidden="1">{#N/A,#N/A,FALSE,"FRPRD"}</definedName>
    <definedName name="k" localSheetId="13" hidden="1">{#N/A,#N/A,FALSE,"FRPRD"}</definedName>
    <definedName name="k" localSheetId="12" hidden="1">{#N/A,#N/A,FALSE,"FRPRD"}</definedName>
    <definedName name="k" hidden="1">{#N/A,#N/A,FALSE,"FRPRD"}</definedName>
    <definedName name="LBE" localSheetId="15">#REF!</definedName>
    <definedName name="LBE" localSheetId="13">#REF!</definedName>
    <definedName name="LBE" localSheetId="12">#REF!</definedName>
    <definedName name="LBE">#REF!</definedName>
    <definedName name="LDO" localSheetId="15">#REF!</definedName>
    <definedName name="LDO" localSheetId="13">#REF!</definedName>
    <definedName name="LDO" localSheetId="12">#REF!</definedName>
    <definedName name="LDO">#REF!</definedName>
    <definedName name="LEAP">#REF!</definedName>
    <definedName name="LR">#N/A</definedName>
    <definedName name="LR_1" localSheetId="15">#REF!</definedName>
    <definedName name="LR_1" localSheetId="13">#REF!</definedName>
    <definedName name="LR_1" localSheetId="12">#REF!</definedName>
    <definedName name="LR_1">#REF!</definedName>
    <definedName name="LR_2" localSheetId="15">#REF!</definedName>
    <definedName name="LR_2" localSheetId="13">#REF!</definedName>
    <definedName name="LR_2" localSheetId="12">#REF!</definedName>
    <definedName name="LR_2">#REF!</definedName>
    <definedName name="LRCHEM" localSheetId="15">#REF!</definedName>
    <definedName name="LRCHEM" localSheetId="13">#REF!</definedName>
    <definedName name="LRCHEM" localSheetId="12">#REF!</definedName>
    <definedName name="LRCHEM">#REF!</definedName>
    <definedName name="LRCLSTOCK" localSheetId="15">#REF!</definedName>
    <definedName name="LRCLSTOCK" localSheetId="13">#REF!</definedName>
    <definedName name="LRCLSTOCK" localSheetId="12">#REF!</definedName>
    <definedName name="LRCLSTOCK">#REF!</definedName>
    <definedName name="LRE" localSheetId="15">#REF!</definedName>
    <definedName name="LRE" localSheetId="13">#REF!</definedName>
    <definedName name="LRE" localSheetId="12">#REF!</definedName>
    <definedName name="LRE">#REF!</definedName>
    <definedName name="LRPROD" localSheetId="15">#REF!</definedName>
    <definedName name="LRPROD" localSheetId="13">#REF!</definedName>
    <definedName name="LRPROD" localSheetId="12">#REF!</definedName>
    <definedName name="LRPROD">#REF!</definedName>
    <definedName name="LRSALES" localSheetId="15">#REF!</definedName>
    <definedName name="LRSALES" localSheetId="13">#REF!</definedName>
    <definedName name="LRSALES" localSheetId="12">#REF!</definedName>
    <definedName name="LRSALES">#REF!</definedName>
    <definedName name="LRWELFARE" localSheetId="15">#REF!</definedName>
    <definedName name="LRWELFARE" localSheetId="13">#REF!</definedName>
    <definedName name="LRWELFARE" localSheetId="12">#REF!</definedName>
    <definedName name="LRWELFARE">#REF!</definedName>
    <definedName name="m" localSheetId="15" hidden="1">{#N/A,#N/A,FALSE,"F-YLDS";#N/A,#N/A,FALSE,"ASP";#N/A,#N/A,FALSE,"FRPRD"}</definedName>
    <definedName name="m" localSheetId="13" hidden="1">{#N/A,#N/A,FALSE,"F-YLDS";#N/A,#N/A,FALSE,"ASP";#N/A,#N/A,FALSE,"FRPRD"}</definedName>
    <definedName name="m" localSheetId="12" hidden="1">{#N/A,#N/A,FALSE,"F-YLDS";#N/A,#N/A,FALSE,"ASP";#N/A,#N/A,FALSE,"FRPRD"}</definedName>
    <definedName name="m" hidden="1">{#N/A,#N/A,FALSE,"F-YLDS";#N/A,#N/A,FALSE,"ASP";#N/A,#N/A,FALSE,"FRPRD"}</definedName>
    <definedName name="M_R">#REF!</definedName>
    <definedName name="MAN" localSheetId="15">#REF!</definedName>
    <definedName name="MAN" localSheetId="13">#REF!</definedName>
    <definedName name="MAN" localSheetId="12">#REF!</definedName>
    <definedName name="MAN">#REF!</definedName>
    <definedName name="MANPOWER" localSheetId="15">#REF!</definedName>
    <definedName name="MANPOWER" localSheetId="13">#REF!</definedName>
    <definedName name="MANPOWER" localSheetId="12">#REF!</definedName>
    <definedName name="MANPOWER">#REF!</definedName>
    <definedName name="Margins2" localSheetId="15">#REF!</definedName>
    <definedName name="Margins2">#REF!</definedName>
    <definedName name="MCSORT" localSheetId="15">#REF!</definedName>
    <definedName name="MCSORT" localSheetId="13">#REF!</definedName>
    <definedName name="MCSORT" localSheetId="12">#REF!</definedName>
    <definedName name="MCSORT">#REF!</definedName>
    <definedName name="Minas_dates" localSheetId="15">#REF!</definedName>
    <definedName name="Minas_dates" localSheetId="13">#REF!</definedName>
    <definedName name="Minas_dates" localSheetId="12">#REF!</definedName>
    <definedName name="Minas_dates">#REF!</definedName>
    <definedName name="Minas_prices" localSheetId="15">#REF!</definedName>
    <definedName name="Minas_prices" localSheetId="13">#REF!</definedName>
    <definedName name="Minas_prices" localSheetId="12">#REF!</definedName>
    <definedName name="Minas_prices">#REF!</definedName>
    <definedName name="MINASCHEM1">#REF!</definedName>
    <definedName name="ms" localSheetId="15">#REF!</definedName>
    <definedName name="ms" localSheetId="13">#REF!</definedName>
    <definedName name="ms" localSheetId="12">#REF!</definedName>
    <definedName name="ms">#REF!</definedName>
    <definedName name="myRange" localSheetId="13">#N/A</definedName>
    <definedName name="myRange" localSheetId="12">#N/A</definedName>
    <definedName name="myRange">#REF!</definedName>
    <definedName name="n" localSheetId="15" hidden="1">{#N/A,#N/A,FALSE,"FRPRD"}</definedName>
    <definedName name="n" localSheetId="13" hidden="1">{#N/A,#N/A,FALSE,"FRPRD"}</definedName>
    <definedName name="n" localSheetId="12" hidden="1">{#N/A,#N/A,FALSE,"FRPRD"}</definedName>
    <definedName name="n" hidden="1">{#N/A,#N/A,FALSE,"FRPRD"}</definedName>
    <definedName name="NET_MON" localSheetId="15">#REF!</definedName>
    <definedName name="NET_MON" localSheetId="13">#REF!</definedName>
    <definedName name="NET_MON" localSheetId="12">#REF!</definedName>
    <definedName name="NET_MON">#REF!</definedName>
    <definedName name="NMP" localSheetId="15">#REF!</definedName>
    <definedName name="NMP" localSheetId="13">#REF!</definedName>
    <definedName name="NMP" localSheetId="12">#REF!</definedName>
    <definedName name="NMP">#REF!</definedName>
    <definedName name="NONLEAP">#REF!</definedName>
    <definedName name="nzdec05" localSheetId="15">#REF!</definedName>
    <definedName name="nzdec05" localSheetId="13">#REF!</definedName>
    <definedName name="nzdec05" localSheetId="12">#REF!</definedName>
    <definedName name="nzdec05">#REF!</definedName>
    <definedName name="o" localSheetId="15" hidden="1">{#N/A,#N/A,FALSE,"FRPRD"}</definedName>
    <definedName name="o" localSheetId="13" hidden="1">{#N/A,#N/A,FALSE,"FRPRD"}</definedName>
    <definedName name="o" localSheetId="12" hidden="1">{#N/A,#N/A,FALSE,"FRPRD"}</definedName>
    <definedName name="o" hidden="1">{#N/A,#N/A,FALSE,"FRPRD"}</definedName>
    <definedName name="OEBACT_INDUS" localSheetId="15">#REF!</definedName>
    <definedName name="OEBACT_INDUS" localSheetId="13">#REF!</definedName>
    <definedName name="OEBACT_INDUS" localSheetId="12">#REF!</definedName>
    <definedName name="OEBACT_INDUS">#REF!</definedName>
    <definedName name="OEBACT_IOCL" localSheetId="15">#REF!</definedName>
    <definedName name="OEBACT_IOCL" localSheetId="13">#REF!</definedName>
    <definedName name="OEBACT_IOCL" localSheetId="12">#REF!</definedName>
    <definedName name="OEBACT_IOCL">#REF!</definedName>
    <definedName name="ol" localSheetId="15" hidden="1">{#N/A,#N/A,FALSE,"F-YLDS";#N/A,#N/A,FALSE,"ASP";#N/A,#N/A,FALSE,"FRPRD"}</definedName>
    <definedName name="ol" localSheetId="13" hidden="1">{#N/A,#N/A,FALSE,"F-YLDS";#N/A,#N/A,FALSE,"ASP";#N/A,#N/A,FALSE,"FRPRD"}</definedName>
    <definedName name="ol" localSheetId="12" hidden="1">{#N/A,#N/A,FALSE,"F-YLDS";#N/A,#N/A,FALSE,"ASP";#N/A,#N/A,FALSE,"FRPRD"}</definedName>
    <definedName name="ol" hidden="1">{#N/A,#N/A,FALSE,"F-YLDS";#N/A,#N/A,FALSE,"ASP";#N/A,#N/A,FALSE,"FRPRD"}</definedName>
    <definedName name="OLEUM_TEL" localSheetId="15">#REF!</definedName>
    <definedName name="OLEUM_TEL" localSheetId="13">#REF!</definedName>
    <definedName name="OLEUM_TEL" localSheetId="12">#REF!</definedName>
    <definedName name="OLEUM_TEL">#REF!</definedName>
    <definedName name="OPEX" localSheetId="15">#REF!</definedName>
    <definedName name="OPEX" localSheetId="13">#REF!</definedName>
    <definedName name="OPEX" localSheetId="12">#REF!</definedName>
    <definedName name="OPEX">#REF!</definedName>
    <definedName name="OPEX_FR_1" localSheetId="15">#REF!</definedName>
    <definedName name="OPEX_FR_1" localSheetId="13">#REF!</definedName>
    <definedName name="OPEX_FR_1" localSheetId="12">#REF!</definedName>
    <definedName name="OPEX_FR_1">#REF!</definedName>
    <definedName name="OPEX_FR_2" localSheetId="15">#REF!</definedName>
    <definedName name="OPEX_FR_2" localSheetId="13">#REF!</definedName>
    <definedName name="OPEX_FR_2" localSheetId="12">#REF!</definedName>
    <definedName name="OPEX_FR_2">#REF!</definedName>
    <definedName name="OPEX_LR" localSheetId="15">#REF!</definedName>
    <definedName name="OPEX_LR" localSheetId="13">#REF!</definedName>
    <definedName name="OPEX_LR" localSheetId="12">#REF!</definedName>
    <definedName name="OPEX_LR">#REF!</definedName>
    <definedName name="opexFR" localSheetId="15">#REF!</definedName>
    <definedName name="opexFR" localSheetId="13">#REF!</definedName>
    <definedName name="opexFR" localSheetId="12">#REF!</definedName>
    <definedName name="opexFR">#REF!</definedName>
    <definedName name="opexLR" localSheetId="15">#REF!</definedName>
    <definedName name="opexLR" localSheetId="13">#REF!</definedName>
    <definedName name="opexLR" localSheetId="12">#REF!</definedName>
    <definedName name="opexLR">#REF!</definedName>
    <definedName name="OT" localSheetId="15">#REF!</definedName>
    <definedName name="OT" localSheetId="13">#REF!</definedName>
    <definedName name="OT" localSheetId="12">#REF!</definedName>
    <definedName name="OT">#REF!</definedName>
    <definedName name="OVEREADS" localSheetId="15">#REF!</definedName>
    <definedName name="OVEREADS" localSheetId="13">#REF!</definedName>
    <definedName name="OVEREADS" localSheetId="12">#REF!</definedName>
    <definedName name="OVEREADS">#REF!</definedName>
    <definedName name="OVERHEADS" localSheetId="15">#REF!</definedName>
    <definedName name="OVERHEADS" localSheetId="13">#REF!</definedName>
    <definedName name="OVERHEADS" localSheetId="12">#REF!</definedName>
    <definedName name="OVERHEADS">#REF!</definedName>
    <definedName name="p" localSheetId="15" hidden="1">{#N/A,#N/A,FALSE,"FRPRD"}</definedName>
    <definedName name="p" localSheetId="13" hidden="1">{#N/A,#N/A,FALSE,"FRPRD"}</definedName>
    <definedName name="p" localSheetId="12" hidden="1">{#N/A,#N/A,FALSE,"FRPRD"}</definedName>
    <definedName name="p" hidden="1">{#N/A,#N/A,FALSE,"FRPRD"}</definedName>
    <definedName name="page1" localSheetId="15">#REF!</definedName>
    <definedName name="page1" localSheetId="13">#REF!</definedName>
    <definedName name="page1" localSheetId="12">#REF!</definedName>
    <definedName name="page1">#REF!</definedName>
    <definedName name="page2" localSheetId="15">#REF!</definedName>
    <definedName name="page2" localSheetId="10">#REF!</definedName>
    <definedName name="page2" localSheetId="9">#REF!</definedName>
    <definedName name="page2" localSheetId="7">#REF!</definedName>
    <definedName name="page2">#REF!</definedName>
    <definedName name="page3" localSheetId="15">#REF!</definedName>
    <definedName name="Page3" localSheetId="10">#REF!</definedName>
    <definedName name="Page3" localSheetId="9">#REF!</definedName>
    <definedName name="Page3" localSheetId="7">#REF!</definedName>
    <definedName name="page3">#REF!</definedName>
    <definedName name="page4" localSheetId="15">#REF!</definedName>
    <definedName name="page4" localSheetId="13">#REF!</definedName>
    <definedName name="page4" localSheetId="12">#REF!</definedName>
    <definedName name="page4">#REF!</definedName>
    <definedName name="PAGE7" localSheetId="10">#REF!</definedName>
    <definedName name="PAGE7" localSheetId="9">#REF!</definedName>
    <definedName name="PAGE7" localSheetId="7">#REF!</definedName>
    <definedName name="PAGE7">#REF!</definedName>
    <definedName name="PHENOL">#N/A</definedName>
    <definedName name="pl" localSheetId="15" hidden="1">{#N/A,#N/A,FALSE,"FRPRD"}</definedName>
    <definedName name="pl" localSheetId="13" hidden="1">{#N/A,#N/A,FALSE,"FRPRD"}</definedName>
    <definedName name="pl" localSheetId="12" hidden="1">{#N/A,#N/A,FALSE,"FRPRD"}</definedName>
    <definedName name="pl" hidden="1">{#N/A,#N/A,FALSE,"FRPRD"}</definedName>
    <definedName name="PPACBU" localSheetId="15">#REF!</definedName>
    <definedName name="PPACBU" localSheetId="13">#REF!</definedName>
    <definedName name="PPACBU" localSheetId="12">#REF!</definedName>
    <definedName name="PPACBU">#REF!</definedName>
    <definedName name="Pr_Ar_BRPL_PRD" localSheetId="13">#N/A</definedName>
    <definedName name="Pr_Ar_BRPL_PRD" localSheetId="12">#N/A</definedName>
    <definedName name="Pr_Ar_BRPL_PRD">#REF!</definedName>
    <definedName name="Pr_Ar_CBR_PRD" localSheetId="13">#N/A</definedName>
    <definedName name="Pr_Ar_CBR_PRD" localSheetId="12">#N/A</definedName>
    <definedName name="Pr_Ar_CBR_PRD">#REF!</definedName>
    <definedName name="Pr_Ar_CPCLM_CRD" localSheetId="13">#N/A</definedName>
    <definedName name="Pr_Ar_CPCLM_CRD" localSheetId="12">#N/A</definedName>
    <definedName name="Pr_Ar_CPCLM_CRD">#REF!</definedName>
    <definedName name="Pr_Ar_CPCPM_PRD" localSheetId="13">#N/A</definedName>
    <definedName name="Pr_Ar_CPCPM_PRD" localSheetId="12">#N/A</definedName>
    <definedName name="Pr_Ar_CPCPM_PRD">#REF!</definedName>
    <definedName name="Pr_IND_ILPvsACT" localSheetId="13">#N/A</definedName>
    <definedName name="Pr_IND_ILPvsACT" localSheetId="12">#N/A</definedName>
    <definedName name="Pr_IND_ILPvsACT">#REF!</definedName>
    <definedName name="Pr_IOC_ILPvsACT" localSheetId="13">#N/A</definedName>
    <definedName name="Pr_IOC_ILPvsACT" localSheetId="12">#N/A</definedName>
    <definedName name="Pr_IOC_ILPvsACT">#REF!</definedName>
    <definedName name="_xlnm.Print_Area" localSheetId="15">#REF!</definedName>
    <definedName name="_xlnm.Print_Area" localSheetId="10">'Monthwise 2015-16'!$A$1:$N$53</definedName>
    <definedName name="_xlnm.Print_Area">#REF!</definedName>
    <definedName name="_xlnm.Print_Titles">#N/A</definedName>
    <definedName name="Print1">#REF!</definedName>
    <definedName name="production" localSheetId="15">#REF!</definedName>
    <definedName name="production" localSheetId="13">#REF!</definedName>
    <definedName name="production" localSheetId="12">#REF!</definedName>
    <definedName name="production">#REF!</definedName>
    <definedName name="productionyield" localSheetId="15">#REF!</definedName>
    <definedName name="productionyield" localSheetId="13">#REF!</definedName>
    <definedName name="productionyield" localSheetId="12">#REF!</definedName>
    <definedName name="productionyield">#REF!</definedName>
    <definedName name="PROPOSED_RE9697" localSheetId="15">#REF!</definedName>
    <definedName name="PROPOSED_RE9697" localSheetId="13">#REF!</definedName>
    <definedName name="PROPOSED_RE9697" localSheetId="12">#REF!</definedName>
    <definedName name="PROPOSED_RE9697">#REF!</definedName>
    <definedName name="q" localSheetId="15" hidden="1">{#N/A,#N/A,FALSE,"FRPRD"}</definedName>
    <definedName name="q" localSheetId="13" hidden="1">{#N/A,#N/A,FALSE,"FRPRD"}</definedName>
    <definedName name="q" localSheetId="12" hidden="1">{#N/A,#N/A,FALSE,"FRPRD"}</definedName>
    <definedName name="q" hidden="1">{#N/A,#N/A,FALSE,"FRPRD"}</definedName>
    <definedName name="qa" localSheetId="15" hidden="1">{#N/A,#N/A,FALSE,"FRPRD"}</definedName>
    <definedName name="qa" localSheetId="13" hidden="1">{#N/A,#N/A,FALSE,"FRPRD"}</definedName>
    <definedName name="qa" localSheetId="12" hidden="1">{#N/A,#N/A,FALSE,"FRPRD"}</definedName>
    <definedName name="qa" hidden="1">{#N/A,#N/A,FALSE,"FRPRD"}</definedName>
    <definedName name="qw" localSheetId="15" hidden="1">{#N/A,#N/A,FALSE,"F-YLDS";#N/A,#N/A,FALSE,"ASP";#N/A,#N/A,FALSE,"FRPRD"}</definedName>
    <definedName name="qw" localSheetId="13" hidden="1">{#N/A,#N/A,FALSE,"F-YLDS";#N/A,#N/A,FALSE,"ASP";#N/A,#N/A,FALSE,"FRPRD"}</definedName>
    <definedName name="qw" localSheetId="12" hidden="1">{#N/A,#N/A,FALSE,"F-YLDS";#N/A,#N/A,FALSE,"ASP";#N/A,#N/A,FALSE,"FRPRD"}</definedName>
    <definedName name="qw" hidden="1">{#N/A,#N/A,FALSE,"F-YLDS";#N/A,#N/A,FALSE,"ASP";#N/A,#N/A,FALSE,"FRPRD"}</definedName>
    <definedName name="qwe">#REF!</definedName>
    <definedName name="re">#REF!</definedName>
    <definedName name="RE_CHEM" localSheetId="15">#REF!</definedName>
    <definedName name="RE_CHEM" localSheetId="13">#REF!</definedName>
    <definedName name="RE_CHEM" localSheetId="12">#REF!</definedName>
    <definedName name="RE_CHEM">#REF!</definedName>
    <definedName name="RECOVERY" localSheetId="15">#REF!</definedName>
    <definedName name="RECOVERY" localSheetId="13">#REF!</definedName>
    <definedName name="RECOVERY" localSheetId="12">#REF!</definedName>
    <definedName name="RECOVERY">#REF!</definedName>
    <definedName name="RECY" localSheetId="15">#REF!</definedName>
    <definedName name="RECY" localSheetId="13">#REF!</definedName>
    <definedName name="RECY" localSheetId="12">#REF!</definedName>
    <definedName name="RECY">#REF!</definedName>
    <definedName name="REFCAPITAL" localSheetId="15">#REF!</definedName>
    <definedName name="REFCAPITAL" localSheetId="13">#REF!</definedName>
    <definedName name="REFCAPITAL" localSheetId="12">#REF!</definedName>
    <definedName name="REFCAPITAL">#REF!</definedName>
    <definedName name="REFexp" localSheetId="15">#REF!</definedName>
    <definedName name="REFexp" localSheetId="13">#REF!</definedName>
    <definedName name="REFexp" localSheetId="12">#REF!</definedName>
    <definedName name="REFexp">#REF!</definedName>
    <definedName name="Refpl" localSheetId="15">#REF!</definedName>
    <definedName name="Refpl" localSheetId="13">#REF!</definedName>
    <definedName name="Refpl" localSheetId="12">#REF!</definedName>
    <definedName name="Refpl">#REF!</definedName>
    <definedName name="REGULAR" localSheetId="15">#REF!</definedName>
    <definedName name="REGULAR" localSheetId="13">#REF!</definedName>
    <definedName name="REGULAR" localSheetId="12">#REF!</definedName>
    <definedName name="REGULAR">#REF!</definedName>
    <definedName name="rf" localSheetId="15" hidden="1">{#N/A,#N/A,FALSE,"F-YLDS";#N/A,#N/A,FALSE,"ASP";#N/A,#N/A,FALSE,"FRPRD"}</definedName>
    <definedName name="rf" localSheetId="13" hidden="1">{#N/A,#N/A,FALSE,"F-YLDS";#N/A,#N/A,FALSE,"ASP";#N/A,#N/A,FALSE,"FRPRD"}</definedName>
    <definedName name="rf" localSheetId="12" hidden="1">{#N/A,#N/A,FALSE,"F-YLDS";#N/A,#N/A,FALSE,"ASP";#N/A,#N/A,FALSE,"FRPRD"}</definedName>
    <definedName name="rf" hidden="1">{#N/A,#N/A,FALSE,"F-YLDS";#N/A,#N/A,FALSE,"ASP";#N/A,#N/A,FALSE,"FRPRD"}</definedName>
    <definedName name="rtp" localSheetId="15">#REF!</definedName>
    <definedName name="rtp" localSheetId="13">#REF!</definedName>
    <definedName name="rtp" localSheetId="12">#REF!</definedName>
    <definedName name="rtp">#REF!</definedName>
    <definedName name="s" localSheetId="15">{#N/A,#N/A,FALSE,"FRPRD"}</definedName>
    <definedName name="s" localSheetId="13">{#N/A,#N/A,FALSE,"FRPRD"}</definedName>
    <definedName name="s" localSheetId="12">{#N/A,#N/A,FALSE,"FRPRD"}</definedName>
    <definedName name="s">{#N/A,#N/A,FALSE,"FRPRD"}</definedName>
    <definedName name="sd" localSheetId="15" hidden="1">{#N/A,#N/A,FALSE,"F-YLDS";#N/A,#N/A,FALSE,"ASP";#N/A,#N/A,FALSE,"FRPRD"}</definedName>
    <definedName name="sd" localSheetId="13" hidden="1">{#N/A,#N/A,FALSE,"F-YLDS";#N/A,#N/A,FALSE,"ASP";#N/A,#N/A,FALSE,"FRPRD"}</definedName>
    <definedName name="sd" localSheetId="12" hidden="1">{#N/A,#N/A,FALSE,"F-YLDS";#N/A,#N/A,FALSE,"ASP";#N/A,#N/A,FALSE,"FRPRD"}</definedName>
    <definedName name="sd" hidden="1">{#N/A,#N/A,FALSE,"F-YLDS";#N/A,#N/A,FALSE,"ASP";#N/A,#N/A,FALSE,"FRPRD"}</definedName>
    <definedName name="Sing_holidays">#REF!</definedName>
    <definedName name="SLATE" localSheetId="15">#REF!</definedName>
    <definedName name="SLATE" localSheetId="13">#REF!</definedName>
    <definedName name="SLATE" localSheetId="12">#REF!</definedName>
    <definedName name="SLATE">#REF!</definedName>
    <definedName name="SR" localSheetId="15">#REF!</definedName>
    <definedName name="SR" localSheetId="13">#REF!</definedName>
    <definedName name="SR" localSheetId="12">#REF!</definedName>
    <definedName name="SR">#REF!</definedName>
    <definedName name="ss">#REF!</definedName>
    <definedName name="State___Wise_Recoverable_and_Irrecoverable_Taxes_as_of_1.5.2006" localSheetId="15">#REF!</definedName>
    <definedName name="State___Wise_Recoverable_and_Irrecoverable_Taxes_as_of_1.5.2006" localSheetId="13">#REF!</definedName>
    <definedName name="State___Wise_Recoverable_and_Irrecoverable_Taxes_as_of_1.5.2006" localSheetId="12">#REF!</definedName>
    <definedName name="State___Wise_Recoverable_and_Irrecoverable_Taxes_as_of_1.5.2006">#REF!</definedName>
    <definedName name="State___Wise_Recoverable_and_Irrecoverable_Taxes_as_of_1.9.2005" localSheetId="15">#REF!</definedName>
    <definedName name="State___Wise_Recoverable_and_Irrecoverable_Taxes_as_of_1.9.2005" localSheetId="13">#REF!</definedName>
    <definedName name="State___Wise_Recoverable_and_Irrecoverable_Taxes_as_of_1.9.2005" localSheetId="12">#REF!</definedName>
    <definedName name="State___Wise_Recoverable_and_Irrecoverable_Taxes_as_of_1.9.2005">#REF!</definedName>
    <definedName name="State___Wise_Recoverable_and_Irrecoverable_Taxes_as_of_1.9.2006" localSheetId="15">#REF!</definedName>
    <definedName name="State___Wise_Recoverable_and_Irrecoverable_Taxes_as_of_1.9.2006" localSheetId="13">#REF!</definedName>
    <definedName name="State___Wise_Recoverable_and_Irrecoverable_Taxes_as_of_1.9.2006" localSheetId="12">#REF!</definedName>
    <definedName name="State___Wise_Recoverable_and_Irrecoverable_Taxes_as_of_1.9.2006">#REF!</definedName>
    <definedName name="stockannex" localSheetId="15">#REF!</definedName>
    <definedName name="stockannex" localSheetId="13">#REF!</definedName>
    <definedName name="stockannex" localSheetId="12">#REF!</definedName>
    <definedName name="stockannex">#REF!</definedName>
    <definedName name="summary" localSheetId="15">#REF!</definedName>
    <definedName name="summary" localSheetId="13">#REF!</definedName>
    <definedName name="summary" localSheetId="12">#REF!</definedName>
    <definedName name="summary">#REF!</definedName>
    <definedName name="sumtry" localSheetId="15">#REF!</definedName>
    <definedName name="sumtry" localSheetId="13">#REF!</definedName>
    <definedName name="sumtry" localSheetId="12">#REF!</definedName>
    <definedName name="sumtry">#REF!</definedName>
    <definedName name="sw">#REF!</definedName>
    <definedName name="SW_B" localSheetId="15">#REF!</definedName>
    <definedName name="SW_B" localSheetId="13">#REF!</definedName>
    <definedName name="SW_B" localSheetId="12">#REF!</definedName>
    <definedName name="SW_B">#REF!</definedName>
    <definedName name="SWdet" localSheetId="15">#REF!</definedName>
    <definedName name="SWdet" localSheetId="13">#REF!</definedName>
    <definedName name="SWdet" localSheetId="12">#REF!</definedName>
    <definedName name="SWdet">#REF!</definedName>
    <definedName name="SWsum" localSheetId="15">#REF!</definedName>
    <definedName name="SWsum" localSheetId="13">#REF!</definedName>
    <definedName name="SWsum" localSheetId="12">#REF!</definedName>
    <definedName name="SWsum">#REF!</definedName>
    <definedName name="szdec05" localSheetId="15">#REF!</definedName>
    <definedName name="szdec05" localSheetId="13">#REF!</definedName>
    <definedName name="szdec05" localSheetId="12">#REF!</definedName>
    <definedName name="szdec05">#REF!</definedName>
    <definedName name="szdec0501" localSheetId="15">#REF!</definedName>
    <definedName name="szdec0501" localSheetId="13">#REF!</definedName>
    <definedName name="szdec0501" localSheetId="12">#REF!</definedName>
    <definedName name="szdec0501">#REF!</definedName>
    <definedName name="t" localSheetId="15" hidden="1">{#N/A,#N/A,FALSE,"FRPRD"}</definedName>
    <definedName name="t" localSheetId="13" hidden="1">{#N/A,#N/A,FALSE,"FRPRD"}</definedName>
    <definedName name="t" localSheetId="12" hidden="1">{#N/A,#N/A,FALSE,"FRPRD"}</definedName>
    <definedName name="t" hidden="1">{#N/A,#N/A,FALSE,"FRPRD"}</definedName>
    <definedName name="TAIPP.25HSD" localSheetId="15">#REF!</definedName>
    <definedName name="TAIPP.25HSD" localSheetId="13">#REF!</definedName>
    <definedName name="TAIPP.25HSD" localSheetId="12">#REF!</definedName>
    <definedName name="TAIPP.25HSD">#REF!</definedName>
    <definedName name="Tapis_dates" localSheetId="15">#REF!</definedName>
    <definedName name="Tapis_dates" localSheetId="13">#REF!</definedName>
    <definedName name="Tapis_dates" localSheetId="12">#REF!</definedName>
    <definedName name="Tapis_dates">#REF!</definedName>
    <definedName name="Tapis_prices" localSheetId="15">#REF!</definedName>
    <definedName name="Tapis_prices" localSheetId="13">#REF!</definedName>
    <definedName name="Tapis_prices" localSheetId="12">#REF!</definedName>
    <definedName name="Tapis_prices">#REF!</definedName>
    <definedName name="tg" localSheetId="15" hidden="1">{#N/A,#N/A,FALSE,"FRPRD"}</definedName>
    <definedName name="tg" localSheetId="13" hidden="1">{#N/A,#N/A,FALSE,"FRPRD"}</definedName>
    <definedName name="tg" localSheetId="12" hidden="1">{#N/A,#N/A,FALSE,"FRPRD"}</definedName>
    <definedName name="tg" hidden="1">{#N/A,#N/A,FALSE,"FRPRD"}</definedName>
    <definedName name="tion" localSheetId="15">#REF!</definedName>
    <definedName name="tion" localSheetId="13">#REF!</definedName>
    <definedName name="tion" localSheetId="12">#REF!</definedName>
    <definedName name="tion">#REF!</definedName>
    <definedName name="tre">#REF!</definedName>
    <definedName name="TRIALINL" localSheetId="15">#REF!</definedName>
    <definedName name="TRIALINL" localSheetId="13">#REF!</definedName>
    <definedName name="TRIALINL" localSheetId="12">#REF!</definedName>
    <definedName name="TRIALINL">#REF!</definedName>
    <definedName name="uj" localSheetId="15" hidden="1">{#N/A,#N/A,FALSE,"F-YLDS";#N/A,#N/A,FALSE,"ASP";#N/A,#N/A,FALSE,"FRPRD"}</definedName>
    <definedName name="uj" localSheetId="13" hidden="1">{#N/A,#N/A,FALSE,"F-YLDS";#N/A,#N/A,FALSE,"ASP";#N/A,#N/A,FALSE,"FRPRD"}</definedName>
    <definedName name="uj" localSheetId="12" hidden="1">{#N/A,#N/A,FALSE,"F-YLDS";#N/A,#N/A,FALSE,"ASP";#N/A,#N/A,FALSE,"FRPRD"}</definedName>
    <definedName name="uj" hidden="1">{#N/A,#N/A,FALSE,"F-YLDS";#N/A,#N/A,FALSE,"ASP";#N/A,#N/A,FALSE,"FRPRD"}</definedName>
    <definedName name="UK_holidays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" localSheetId="15" hidden="1">{#N/A,#N/A,FALSE,"F-YLDS";#N/A,#N/A,FALSE,"ASP";#N/A,#N/A,FALSE,"FRPRD"}</definedName>
    <definedName name="v" localSheetId="13" hidden="1">{#N/A,#N/A,FALSE,"F-YLDS";#N/A,#N/A,FALSE,"ASP";#N/A,#N/A,FALSE,"FRPRD"}</definedName>
    <definedName name="v" localSheetId="12" hidden="1">{#N/A,#N/A,FALSE,"F-YLDS";#N/A,#N/A,FALSE,"ASP";#N/A,#N/A,FALSE,"FRPRD"}</definedName>
    <definedName name="v" hidden="1">{#N/A,#N/A,FALSE,"F-YLDS";#N/A,#N/A,FALSE,"ASP";#N/A,#N/A,FALSE,"FRPRD"}</definedName>
    <definedName name="Variance_monthly">#REF!</definedName>
    <definedName name="VR" localSheetId="15" hidden="1">{#N/A,#N/A,FALSE,"F-YLDS";#N/A,#N/A,FALSE,"ASP";#N/A,#N/A,FALSE,"FRPRD"}</definedName>
    <definedName name="VR" localSheetId="13" hidden="1">{#N/A,#N/A,FALSE,"F-YLDS";#N/A,#N/A,FALSE,"ASP";#N/A,#N/A,FALSE,"FRPRD"}</definedName>
    <definedName name="VR" localSheetId="12" hidden="1">{#N/A,#N/A,FALSE,"F-YLDS";#N/A,#N/A,FALSE,"ASP";#N/A,#N/A,FALSE,"FRPRD"}</definedName>
    <definedName name="VR" hidden="1">{#N/A,#N/A,FALSE,"F-YLDS";#N/A,#N/A,FALSE,"ASP";#N/A,#N/A,FALSE,"FRPRD"}</definedName>
    <definedName name="vrr" localSheetId="15" hidden="1">{#N/A,#N/A,FALSE,"FRPRD"}</definedName>
    <definedName name="vrr" localSheetId="13" hidden="1">{#N/A,#N/A,FALSE,"FRPRD"}</definedName>
    <definedName name="vrr" localSheetId="12" hidden="1">{#N/A,#N/A,FALSE,"FRPRD"}</definedName>
    <definedName name="vrr" hidden="1">{#N/A,#N/A,FALSE,"FRPRD"}</definedName>
    <definedName name="w" localSheetId="15" hidden="1">{#N/A,#N/A,FALSE,"F-YLDS";#N/A,#N/A,FALSE,"ASP";#N/A,#N/A,FALSE,"FRPRD"}</definedName>
    <definedName name="w" localSheetId="13" hidden="1">{#N/A,#N/A,FALSE,"F-YLDS";#N/A,#N/A,FALSE,"ASP";#N/A,#N/A,FALSE,"FRPRD"}</definedName>
    <definedName name="w" localSheetId="12" hidden="1">{#N/A,#N/A,FALSE,"F-YLDS";#N/A,#N/A,FALSE,"ASP";#N/A,#N/A,FALSE,"FRPRD"}</definedName>
    <definedName name="w" hidden="1">{#N/A,#N/A,FALSE,"F-YLDS";#N/A,#N/A,FALSE,"ASP";#N/A,#N/A,FALSE,"FRPRD"}</definedName>
    <definedName name="w203I340" localSheetId="15">#REF!</definedName>
    <definedName name="w203I340" localSheetId="13">#REF!</definedName>
    <definedName name="w203I340" localSheetId="12">#REF!</definedName>
    <definedName name="w203I340">#REF!</definedName>
    <definedName name="WATER" localSheetId="15">#REF!</definedName>
    <definedName name="WATER" localSheetId="13">#REF!</definedName>
    <definedName name="WATER" localSheetId="12">#REF!</definedName>
    <definedName name="WATER">#REF!</definedName>
    <definedName name="we" localSheetId="15" hidden="1">{#N/A,#N/A,FALSE,"FRPRD"}</definedName>
    <definedName name="we" localSheetId="13" hidden="1">{#N/A,#N/A,FALSE,"FRPRD"}</definedName>
    <definedName name="we" localSheetId="12" hidden="1">{#N/A,#N/A,FALSE,"FRPRD"}</definedName>
    <definedName name="we" hidden="1">{#N/A,#N/A,FALSE,"FRPRD"}</definedName>
    <definedName name="WHOLE" localSheetId="15">#REF!</definedName>
    <definedName name="WHOLE" localSheetId="13">#REF!</definedName>
    <definedName name="WHOLE" localSheetId="12">#REF!</definedName>
    <definedName name="WHOLE">#REF!</definedName>
    <definedName name="wrn.frprd." localSheetId="15" hidden="1">{#N/A,#N/A,FALSE,"FRPRD"}</definedName>
    <definedName name="wrn.frprd." localSheetId="13" hidden="1">{#N/A,#N/A,FALSE,"FRPRD"}</definedName>
    <definedName name="wrn.frprd." localSheetId="12" hidden="1">{#N/A,#N/A,FALSE,"FRPRD"}</definedName>
    <definedName name="wrn.frprd." hidden="1">{#N/A,#N/A,FALSE,"FRPRD"}</definedName>
    <definedName name="wrn.ylds." localSheetId="15" hidden="1">{#N/A,#N/A,FALSE,"F-YLDS";#N/A,#N/A,FALSE,"ASP";#N/A,#N/A,FALSE,"FRPRD"}</definedName>
    <definedName name="wrn.ylds." localSheetId="13" hidden="1">{#N/A,#N/A,FALSE,"F-YLDS";#N/A,#N/A,FALSE,"ASP";#N/A,#N/A,FALSE,"FRPRD"}</definedName>
    <definedName name="wrn.ylds." localSheetId="12" hidden="1">{#N/A,#N/A,FALSE,"F-YLDS";#N/A,#N/A,FALSE,"ASP";#N/A,#N/A,FALSE,"FRPRD"}</definedName>
    <definedName name="wrn.ylds." hidden="1">{#N/A,#N/A,FALSE,"F-YLDS";#N/A,#N/A,FALSE,"ASP";#N/A,#N/A,FALSE,"FRPRD"}</definedName>
    <definedName name="ws" localSheetId="15" hidden="1">{#N/A,#N/A,FALSE,"F-YLDS";#N/A,#N/A,FALSE,"ASP";#N/A,#N/A,FALSE,"FRPRD"}</definedName>
    <definedName name="ws" localSheetId="13" hidden="1">{#N/A,#N/A,FALSE,"F-YLDS";#N/A,#N/A,FALSE,"ASP";#N/A,#N/A,FALSE,"FRPRD"}</definedName>
    <definedName name="ws" localSheetId="12" hidden="1">{#N/A,#N/A,FALSE,"F-YLDS";#N/A,#N/A,FALSE,"ASP";#N/A,#N/A,FALSE,"FRPRD"}</definedName>
    <definedName name="ws" hidden="1">{#N/A,#N/A,FALSE,"F-YLDS";#N/A,#N/A,FALSE,"ASP";#N/A,#N/A,FALSE,"FRPRD"}</definedName>
    <definedName name="WTAWHLE" localSheetId="15">#REF!</definedName>
    <definedName name="WTAWHLE" localSheetId="13">#REF!</definedName>
    <definedName name="WTAWHLE" localSheetId="12">#REF!</definedName>
    <definedName name="WTAWHLE">#REF!</definedName>
    <definedName name="wzdec05" localSheetId="15">#REF!</definedName>
    <definedName name="wzdec05" localSheetId="13">#REF!</definedName>
    <definedName name="wzdec05" localSheetId="12">#REF!</definedName>
    <definedName name="wzdec05">#REF!</definedName>
    <definedName name="x" localSheetId="15" hidden="1">{#N/A,#N/A,FALSE,"F-YLDS";#N/A,#N/A,FALSE,"ASP";#N/A,#N/A,FALSE,"FRPRD"}</definedName>
    <definedName name="x" localSheetId="13" hidden="1">{#N/A,#N/A,FALSE,"F-YLDS";#N/A,#N/A,FALSE,"ASP";#N/A,#N/A,FALSE,"FRPRD"}</definedName>
    <definedName name="x" localSheetId="12" hidden="1">{#N/A,#N/A,FALSE,"F-YLDS";#N/A,#N/A,FALSE,"ASP";#N/A,#N/A,FALSE,"FRPRD"}</definedName>
    <definedName name="x" hidden="1">{#N/A,#N/A,FALSE,"F-YLDS";#N/A,#N/A,FALSE,"ASP";#N/A,#N/A,FALSE,"FRPRD"}</definedName>
    <definedName name="XCOASTAL" localSheetId="15">#REF!</definedName>
    <definedName name="XCOASTAL" localSheetId="13">#REF!</definedName>
    <definedName name="XCOASTAL" localSheetId="12">#REF!</definedName>
    <definedName name="XCOASTAL">#REF!</definedName>
    <definedName name="xcv">#REF!</definedName>
    <definedName name="XINLAND" localSheetId="15">#REF!</definedName>
    <definedName name="XINLAND" localSheetId="13">#REF!</definedName>
    <definedName name="XINLAND" localSheetId="12">#REF!</definedName>
    <definedName name="XINLAND">#REF!</definedName>
    <definedName name="xs" localSheetId="15" hidden="1">{#N/A,#N/A,FALSE,"F-YLDS";#N/A,#N/A,FALSE,"ASP";#N/A,#N/A,FALSE,"FRPRD"}</definedName>
    <definedName name="xs" localSheetId="13" hidden="1">{#N/A,#N/A,FALSE,"F-YLDS";#N/A,#N/A,FALSE,"ASP";#N/A,#N/A,FALSE,"FRPRD"}</definedName>
    <definedName name="xs" localSheetId="12" hidden="1">{#N/A,#N/A,FALSE,"F-YLDS";#N/A,#N/A,FALSE,"ASP";#N/A,#N/A,FALSE,"FRPRD"}</definedName>
    <definedName name="xs" hidden="1">{#N/A,#N/A,FALSE,"F-YLDS";#N/A,#N/A,FALSE,"ASP";#N/A,#N/A,FALSE,"FRPRD"}</definedName>
    <definedName name="y" localSheetId="15" hidden="1">{#N/A,#N/A,FALSE,"F-YLDS";#N/A,#N/A,FALSE,"ASP";#N/A,#N/A,FALSE,"FRPRD"}</definedName>
    <definedName name="y" localSheetId="13" hidden="1">{#N/A,#N/A,FALSE,"F-YLDS";#N/A,#N/A,FALSE,"ASP";#N/A,#N/A,FALSE,"FRPRD"}</definedName>
    <definedName name="y" localSheetId="12" hidden="1">{#N/A,#N/A,FALSE,"F-YLDS";#N/A,#N/A,FALSE,"ASP";#N/A,#N/A,FALSE,"FRPRD"}</definedName>
    <definedName name="y" hidden="1">{#N/A,#N/A,FALSE,"F-YLDS";#N/A,#N/A,FALSE,"ASP";#N/A,#N/A,FALSE,"FRPRD"}</definedName>
    <definedName name="yh" localSheetId="15" hidden="1">{#N/A,#N/A,FALSE,"FRPRD"}</definedName>
    <definedName name="yh" localSheetId="13" hidden="1">{#N/A,#N/A,FALSE,"FRPRD"}</definedName>
    <definedName name="yh" localSheetId="12" hidden="1">{#N/A,#N/A,FALSE,"FRPRD"}</definedName>
    <definedName name="yh" hidden="1">{#N/A,#N/A,FALSE,"FRPRD"}</definedName>
    <definedName name="Yields" localSheetId="15">#REF!</definedName>
    <definedName name="Yields" localSheetId="13">#REF!</definedName>
    <definedName name="Yields" localSheetId="12">#REF!</definedName>
    <definedName name="Yields">#REF!</definedName>
    <definedName name="z" localSheetId="15" hidden="1">{#N/A,#N/A,FALSE,"FRPRD"}</definedName>
    <definedName name="z" localSheetId="13" hidden="1">{#N/A,#N/A,FALSE,"FRPRD"}</definedName>
    <definedName name="z" localSheetId="12" hidden="1">{#N/A,#N/A,FALSE,"FRPRD"}</definedName>
    <definedName name="z" hidden="1">{#N/A,#N/A,FALSE,"FRPRD"}</definedName>
    <definedName name="za" localSheetId="15" hidden="1">{#N/A,#N/A,FALSE,"F-YLDS";#N/A,#N/A,FALSE,"ASP";#N/A,#N/A,FALSE,"FRPRD"}</definedName>
    <definedName name="za" localSheetId="13" hidden="1">{#N/A,#N/A,FALSE,"F-YLDS";#N/A,#N/A,FALSE,"ASP";#N/A,#N/A,FALSE,"FRPRD"}</definedName>
    <definedName name="za" localSheetId="12" hidden="1">{#N/A,#N/A,FALSE,"F-YLDS";#N/A,#N/A,FALSE,"ASP";#N/A,#N/A,FALSE,"FRPRD"}</definedName>
    <definedName name="za" hidden="1">{#N/A,#N/A,FALSE,"F-YLDS";#N/A,#N/A,FALSE,"ASP";#N/A,#N/A,FALSE,"FRPRD"}</definedName>
    <definedName name="zx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2" i="1" l="1"/>
  <c r="W62" i="1"/>
  <c r="V62" i="1"/>
  <c r="U62" i="1"/>
  <c r="AB62" i="1"/>
  <c r="AA62" i="1"/>
  <c r="Z62" i="1"/>
  <c r="Y62" i="1"/>
  <c r="AC62" i="1"/>
  <c r="AC58" i="1"/>
  <c r="AD58" i="1"/>
  <c r="AC54" i="1"/>
  <c r="AD54" i="1"/>
  <c r="AC39" i="1"/>
  <c r="AD39" i="1"/>
  <c r="AC32" i="1"/>
  <c r="AD32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B26" i="1"/>
  <c r="AC21" i="1"/>
  <c r="AD21" i="1"/>
  <c r="P47" i="22"/>
  <c r="AB58" i="1"/>
  <c r="AB54" i="1"/>
  <c r="AB39" i="1"/>
  <c r="AB32" i="1"/>
  <c r="AB21" i="1"/>
  <c r="N50" i="22"/>
  <c r="M48" i="22"/>
  <c r="L48" i="22"/>
  <c r="L52" i="22"/>
  <c r="K48" i="22"/>
  <c r="K52" i="22"/>
  <c r="J48" i="22"/>
  <c r="I48" i="22"/>
  <c r="H48" i="22"/>
  <c r="H52" i="22"/>
  <c r="G48" i="22"/>
  <c r="F48" i="22"/>
  <c r="E48" i="22"/>
  <c r="D48" i="22"/>
  <c r="D52" i="22"/>
  <c r="C48" i="22"/>
  <c r="B48" i="22"/>
  <c r="N48" i="22"/>
  <c r="N47" i="22"/>
  <c r="N46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N42" i="22"/>
  <c r="N41" i="22"/>
  <c r="N40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N36" i="22"/>
  <c r="N35" i="22"/>
  <c r="N32" i="22"/>
  <c r="M31" i="22"/>
  <c r="M52" i="22"/>
  <c r="L31" i="22"/>
  <c r="K31" i="22"/>
  <c r="J31" i="22"/>
  <c r="I31" i="22"/>
  <c r="H31" i="22"/>
  <c r="G31" i="22"/>
  <c r="G52" i="22"/>
  <c r="F31" i="22"/>
  <c r="E31" i="22"/>
  <c r="D31" i="22"/>
  <c r="C31" i="22"/>
  <c r="B31" i="22"/>
  <c r="N31" i="22"/>
  <c r="N30" i="22"/>
  <c r="N29" i="22"/>
  <c r="N28" i="22"/>
  <c r="M25" i="22"/>
  <c r="L25" i="22"/>
  <c r="K25" i="22"/>
  <c r="J25" i="22"/>
  <c r="I25" i="22"/>
  <c r="H25" i="22"/>
  <c r="G25" i="22"/>
  <c r="F25" i="22"/>
  <c r="E25" i="22"/>
  <c r="D25" i="22"/>
  <c r="C25" i="22"/>
  <c r="B25" i="22"/>
  <c r="N24" i="22"/>
  <c r="N23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N19" i="22"/>
  <c r="N18" i="22"/>
  <c r="N17" i="22"/>
  <c r="N16" i="22"/>
  <c r="N15" i="22"/>
  <c r="N14" i="22"/>
  <c r="N13" i="22"/>
  <c r="N12" i="22"/>
  <c r="N11" i="22"/>
  <c r="N8" i="8"/>
  <c r="N9" i="8"/>
  <c r="N10" i="8"/>
  <c r="N11" i="8"/>
  <c r="N12" i="8"/>
  <c r="N13" i="8"/>
  <c r="N14" i="8"/>
  <c r="N15" i="8"/>
  <c r="B16" i="8"/>
  <c r="C16" i="8"/>
  <c r="D16" i="8"/>
  <c r="E16" i="8"/>
  <c r="F16" i="8"/>
  <c r="H16" i="8"/>
  <c r="I16" i="8"/>
  <c r="J16" i="8"/>
  <c r="K16" i="8"/>
  <c r="L16" i="8"/>
  <c r="M16" i="8"/>
  <c r="N16" i="8"/>
  <c r="N19" i="8"/>
  <c r="N20" i="8"/>
  <c r="B21" i="8"/>
  <c r="C21" i="8"/>
  <c r="D21" i="8"/>
  <c r="E21" i="8"/>
  <c r="F21" i="8"/>
  <c r="H21" i="8"/>
  <c r="I21" i="8"/>
  <c r="J21" i="8"/>
  <c r="K21" i="8"/>
  <c r="L21" i="8"/>
  <c r="M21" i="8"/>
  <c r="N21" i="8"/>
  <c r="N24" i="8"/>
  <c r="N25" i="8"/>
  <c r="N26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N30" i="8"/>
  <c r="N31" i="8"/>
  <c r="B32" i="8"/>
  <c r="C32" i="8"/>
  <c r="D32" i="8"/>
  <c r="E32" i="8"/>
  <c r="F32" i="8"/>
  <c r="H32" i="8"/>
  <c r="I32" i="8"/>
  <c r="J32" i="8"/>
  <c r="K32" i="8"/>
  <c r="L32" i="8"/>
  <c r="M32" i="8"/>
  <c r="N32" i="8"/>
  <c r="N35" i="8"/>
  <c r="N36" i="8"/>
  <c r="B37" i="8"/>
  <c r="C37" i="8"/>
  <c r="D37" i="8"/>
  <c r="E37" i="8"/>
  <c r="F37" i="8"/>
  <c r="H37" i="8"/>
  <c r="I37" i="8"/>
  <c r="J37" i="8"/>
  <c r="K37" i="8"/>
  <c r="L37" i="8"/>
  <c r="M37" i="8"/>
  <c r="N37" i="8"/>
  <c r="N40" i="8"/>
  <c r="N41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N44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N8" i="3"/>
  <c r="N9" i="3"/>
  <c r="N10" i="3"/>
  <c r="N11" i="3"/>
  <c r="N12" i="3"/>
  <c r="N13" i="3"/>
  <c r="N14" i="3"/>
  <c r="N15" i="3"/>
  <c r="B16" i="3"/>
  <c r="C16" i="3"/>
  <c r="D16" i="3"/>
  <c r="E16" i="3"/>
  <c r="F16" i="3"/>
  <c r="G16" i="3"/>
  <c r="H16" i="3"/>
  <c r="I16" i="3"/>
  <c r="J16" i="3"/>
  <c r="M16" i="3"/>
  <c r="N16" i="3"/>
  <c r="N19" i="3"/>
  <c r="N20" i="3"/>
  <c r="B21" i="3"/>
  <c r="C21" i="3"/>
  <c r="D21" i="3"/>
  <c r="E21" i="3"/>
  <c r="F21" i="3"/>
  <c r="G21" i="3"/>
  <c r="H21" i="3"/>
  <c r="I21" i="3"/>
  <c r="J21" i="3"/>
  <c r="K21" i="3"/>
  <c r="M21" i="3"/>
  <c r="N21" i="3"/>
  <c r="N24" i="3"/>
  <c r="N25" i="3"/>
  <c r="N26" i="3"/>
  <c r="N27" i="3"/>
  <c r="B28" i="3"/>
  <c r="C28" i="3"/>
  <c r="D28" i="3"/>
  <c r="E28" i="3"/>
  <c r="F28" i="3"/>
  <c r="G28" i="3"/>
  <c r="H28" i="3"/>
  <c r="I28" i="3"/>
  <c r="J28" i="3"/>
  <c r="K28" i="3"/>
  <c r="M28" i="3"/>
  <c r="N28" i="3"/>
  <c r="N31" i="3"/>
  <c r="N32" i="3"/>
  <c r="B33" i="3"/>
  <c r="C33" i="3"/>
  <c r="D33" i="3"/>
  <c r="E33" i="3"/>
  <c r="F33" i="3"/>
  <c r="G33" i="3"/>
  <c r="H33" i="3"/>
  <c r="I33" i="3"/>
  <c r="J33" i="3"/>
  <c r="K33" i="3"/>
  <c r="M33" i="3"/>
  <c r="N33" i="3"/>
  <c r="N36" i="3"/>
  <c r="N37" i="3"/>
  <c r="B38" i="3"/>
  <c r="C38" i="3"/>
  <c r="D38" i="3"/>
  <c r="E38" i="3"/>
  <c r="F38" i="3"/>
  <c r="G38" i="3"/>
  <c r="H38" i="3"/>
  <c r="I38" i="3"/>
  <c r="J38" i="3"/>
  <c r="K38" i="3"/>
  <c r="M38" i="3"/>
  <c r="N38" i="3"/>
  <c r="N41" i="3"/>
  <c r="N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N45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N8" i="5"/>
  <c r="N9" i="5"/>
  <c r="N10" i="5"/>
  <c r="N11" i="5"/>
  <c r="N12" i="5"/>
  <c r="N13" i="5"/>
  <c r="N14" i="5"/>
  <c r="N15" i="5"/>
  <c r="N16" i="5"/>
  <c r="N19" i="5"/>
  <c r="N20" i="5"/>
  <c r="N21" i="5"/>
  <c r="B22" i="5"/>
  <c r="C22" i="5"/>
  <c r="D22" i="5"/>
  <c r="E22" i="5"/>
  <c r="F22" i="5"/>
  <c r="G22" i="5"/>
  <c r="H22" i="5"/>
  <c r="I22" i="5"/>
  <c r="J22" i="5"/>
  <c r="K22" i="5"/>
  <c r="L22" i="5"/>
  <c r="N22" i="5"/>
  <c r="N25" i="5"/>
  <c r="N26" i="5"/>
  <c r="N27" i="5"/>
  <c r="N28" i="5"/>
  <c r="N29" i="5"/>
  <c r="N32" i="5"/>
  <c r="N33" i="5"/>
  <c r="N34" i="5"/>
  <c r="N37" i="5"/>
  <c r="N38" i="5"/>
  <c r="N39" i="5"/>
  <c r="N42" i="5"/>
  <c r="N43" i="5"/>
  <c r="K44" i="5"/>
  <c r="L44" i="5"/>
  <c r="M44" i="5"/>
  <c r="N44" i="5"/>
  <c r="N46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N8" i="7"/>
  <c r="N9" i="7"/>
  <c r="N10" i="7"/>
  <c r="N11" i="7"/>
  <c r="N12" i="7"/>
  <c r="N13" i="7"/>
  <c r="N14" i="7"/>
  <c r="N15" i="7"/>
  <c r="N16" i="7"/>
  <c r="N19" i="7"/>
  <c r="N20" i="7"/>
  <c r="N21" i="7"/>
  <c r="N22" i="7"/>
  <c r="N25" i="7"/>
  <c r="N26" i="7"/>
  <c r="N27" i="7"/>
  <c r="N28" i="7"/>
  <c r="N29" i="7"/>
  <c r="N32" i="7"/>
  <c r="N33" i="7"/>
  <c r="N34" i="7"/>
  <c r="N37" i="7"/>
  <c r="N38" i="7"/>
  <c r="N39" i="7"/>
  <c r="N42" i="7"/>
  <c r="N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N46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N12" i="9"/>
  <c r="N13" i="9"/>
  <c r="N14" i="9"/>
  <c r="N15" i="9"/>
  <c r="N16" i="9"/>
  <c r="N17" i="9"/>
  <c r="N18" i="9"/>
  <c r="N19" i="9"/>
  <c r="B20" i="9"/>
  <c r="C20" i="9"/>
  <c r="N20" i="9"/>
  <c r="N23" i="9"/>
  <c r="N24" i="9"/>
  <c r="N25" i="9"/>
  <c r="B26" i="9"/>
  <c r="C26" i="9"/>
  <c r="N26" i="9"/>
  <c r="N29" i="9"/>
  <c r="N30" i="9"/>
  <c r="N31" i="9"/>
  <c r="N32" i="9"/>
  <c r="N33" i="9"/>
  <c r="N36" i="9"/>
  <c r="N37" i="9"/>
  <c r="N38" i="9"/>
  <c r="N41" i="9"/>
  <c r="N42" i="9"/>
  <c r="N43" i="9"/>
  <c r="N46" i="9"/>
  <c r="N47" i="9"/>
  <c r="B48" i="9"/>
  <c r="C48" i="9"/>
  <c r="N48" i="9"/>
  <c r="N50" i="9"/>
  <c r="N37" i="13"/>
  <c r="N42" i="13"/>
  <c r="N47" i="13"/>
  <c r="N11" i="12"/>
  <c r="N12" i="12"/>
  <c r="N13" i="12"/>
  <c r="N14" i="12"/>
  <c r="N15" i="12"/>
  <c r="N16" i="12"/>
  <c r="N17" i="12"/>
  <c r="N18" i="12"/>
  <c r="N19" i="12"/>
  <c r="N23" i="12"/>
  <c r="N24" i="12"/>
  <c r="N25" i="12"/>
  <c r="N29" i="12"/>
  <c r="N30" i="12"/>
  <c r="N31" i="12"/>
  <c r="N32" i="12"/>
  <c r="N36" i="12"/>
  <c r="N37" i="12"/>
  <c r="N41" i="12"/>
  <c r="N42" i="12"/>
  <c r="N46" i="12"/>
  <c r="N47" i="12"/>
  <c r="N50" i="12"/>
  <c r="N20" i="16"/>
  <c r="N25" i="16"/>
  <c r="N32" i="16"/>
  <c r="N37" i="16"/>
  <c r="N43" i="16"/>
  <c r="N48" i="16"/>
  <c r="N52" i="16"/>
  <c r="N11" i="17"/>
  <c r="N12" i="17"/>
  <c r="N13" i="17"/>
  <c r="N14" i="17"/>
  <c r="N15" i="17"/>
  <c r="N16" i="17"/>
  <c r="N17" i="17"/>
  <c r="N18" i="17"/>
  <c r="N19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N23" i="17"/>
  <c r="N24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N28" i="17"/>
  <c r="N29" i="17"/>
  <c r="N30" i="17"/>
  <c r="N31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N35" i="17"/>
  <c r="N36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N40" i="17"/>
  <c r="N41" i="17"/>
  <c r="N42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N46" i="17"/>
  <c r="N47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N50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N11" i="18"/>
  <c r="N12" i="18"/>
  <c r="N13" i="18"/>
  <c r="N14" i="18"/>
  <c r="N15" i="18"/>
  <c r="N16" i="18"/>
  <c r="N17" i="18"/>
  <c r="N18" i="18"/>
  <c r="N19" i="18"/>
  <c r="B20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N23" i="18"/>
  <c r="N24" i="18"/>
  <c r="B25" i="18"/>
  <c r="C25" i="18"/>
  <c r="D25" i="18"/>
  <c r="E25" i="18"/>
  <c r="F25" i="18"/>
  <c r="G25" i="18"/>
  <c r="H25" i="18"/>
  <c r="I25" i="18"/>
  <c r="J25" i="18"/>
  <c r="K25" i="18"/>
  <c r="L25" i="18"/>
  <c r="M25" i="18"/>
  <c r="N25" i="18"/>
  <c r="N28" i="18"/>
  <c r="N29" i="18"/>
  <c r="N30" i="18"/>
  <c r="B31" i="18"/>
  <c r="C31" i="18"/>
  <c r="D31" i="18"/>
  <c r="E31" i="18"/>
  <c r="F31" i="18"/>
  <c r="G31" i="18"/>
  <c r="H31" i="18"/>
  <c r="I31" i="18"/>
  <c r="J31" i="18"/>
  <c r="K31" i="18"/>
  <c r="L31" i="18"/>
  <c r="M31" i="18"/>
  <c r="N31" i="18"/>
  <c r="N32" i="18"/>
  <c r="N35" i="18"/>
  <c r="N36" i="18"/>
  <c r="B37" i="18"/>
  <c r="C37" i="18"/>
  <c r="D37" i="18"/>
  <c r="E37" i="18"/>
  <c r="F37" i="18"/>
  <c r="G37" i="18"/>
  <c r="H37" i="18"/>
  <c r="I37" i="18"/>
  <c r="J37" i="18"/>
  <c r="K37" i="18"/>
  <c r="L37" i="18"/>
  <c r="M37" i="18"/>
  <c r="N37" i="18"/>
  <c r="N40" i="18"/>
  <c r="N41" i="18"/>
  <c r="N42" i="18"/>
  <c r="B43" i="18"/>
  <c r="C43" i="18"/>
  <c r="D43" i="18"/>
  <c r="E43" i="18"/>
  <c r="F43" i="18"/>
  <c r="G43" i="18"/>
  <c r="H43" i="18"/>
  <c r="I43" i="18"/>
  <c r="J43" i="18"/>
  <c r="K43" i="18"/>
  <c r="L43" i="18"/>
  <c r="M43" i="18"/>
  <c r="N43" i="18"/>
  <c r="N46" i="18"/>
  <c r="N47" i="18"/>
  <c r="B48" i="18"/>
  <c r="C48" i="18"/>
  <c r="D48" i="18"/>
  <c r="E48" i="18"/>
  <c r="F48" i="18"/>
  <c r="G48" i="18"/>
  <c r="H48" i="18"/>
  <c r="I48" i="18"/>
  <c r="J48" i="18"/>
  <c r="K48" i="18"/>
  <c r="L48" i="18"/>
  <c r="M48" i="18"/>
  <c r="N48" i="18"/>
  <c r="N50" i="18"/>
  <c r="B52" i="18"/>
  <c r="C52" i="18"/>
  <c r="D52" i="18"/>
  <c r="E52" i="18"/>
  <c r="F52" i="18"/>
  <c r="G52" i="18"/>
  <c r="H52" i="18"/>
  <c r="I52" i="18"/>
  <c r="J52" i="18"/>
  <c r="K52" i="18"/>
  <c r="L52" i="18"/>
  <c r="M52" i="18"/>
  <c r="N52" i="18"/>
  <c r="N11" i="20"/>
  <c r="N12" i="20"/>
  <c r="N13" i="20"/>
  <c r="N14" i="20"/>
  <c r="N15" i="20"/>
  <c r="N16" i="20"/>
  <c r="N17" i="20"/>
  <c r="N18" i="20"/>
  <c r="N19" i="20"/>
  <c r="B20" i="20"/>
  <c r="C20" i="20"/>
  <c r="D20" i="20"/>
  <c r="E20" i="20"/>
  <c r="F20" i="20"/>
  <c r="G20" i="20"/>
  <c r="H20" i="20"/>
  <c r="I20" i="20"/>
  <c r="J20" i="20"/>
  <c r="K20" i="20"/>
  <c r="L20" i="20"/>
  <c r="M20" i="20"/>
  <c r="N20" i="20"/>
  <c r="N23" i="20"/>
  <c r="N24" i="20"/>
  <c r="B25" i="20"/>
  <c r="C25" i="20"/>
  <c r="D25" i="20"/>
  <c r="E25" i="20"/>
  <c r="F25" i="20"/>
  <c r="G25" i="20"/>
  <c r="H25" i="20"/>
  <c r="I25" i="20"/>
  <c r="J25" i="20"/>
  <c r="K25" i="20"/>
  <c r="L25" i="20"/>
  <c r="M25" i="20"/>
  <c r="N25" i="20"/>
  <c r="N28" i="20"/>
  <c r="N29" i="20"/>
  <c r="N30" i="20"/>
  <c r="B31" i="20"/>
  <c r="C31" i="20"/>
  <c r="D31" i="20"/>
  <c r="E31" i="20"/>
  <c r="F31" i="20"/>
  <c r="G31" i="20"/>
  <c r="H31" i="20"/>
  <c r="I31" i="20"/>
  <c r="J31" i="20"/>
  <c r="K31" i="20"/>
  <c r="L31" i="20"/>
  <c r="M31" i="20"/>
  <c r="N31" i="20"/>
  <c r="N32" i="20"/>
  <c r="N35" i="20"/>
  <c r="N36" i="20"/>
  <c r="B37" i="20"/>
  <c r="C37" i="20"/>
  <c r="D37" i="20"/>
  <c r="E37" i="20"/>
  <c r="F37" i="20"/>
  <c r="G37" i="20"/>
  <c r="H37" i="20"/>
  <c r="I37" i="20"/>
  <c r="J37" i="20"/>
  <c r="K37" i="20"/>
  <c r="L37" i="20"/>
  <c r="M37" i="20"/>
  <c r="N37" i="20"/>
  <c r="N40" i="20"/>
  <c r="N41" i="20"/>
  <c r="N42" i="20"/>
  <c r="B43" i="20"/>
  <c r="C43" i="20"/>
  <c r="D43" i="20"/>
  <c r="E43" i="20"/>
  <c r="F43" i="20"/>
  <c r="G43" i="20"/>
  <c r="H43" i="20"/>
  <c r="I43" i="20"/>
  <c r="J43" i="20"/>
  <c r="K43" i="20"/>
  <c r="L43" i="20"/>
  <c r="M43" i="20"/>
  <c r="N43" i="20"/>
  <c r="N46" i="20"/>
  <c r="N47" i="20"/>
  <c r="B48" i="20"/>
  <c r="C48" i="20"/>
  <c r="D48" i="20"/>
  <c r="E48" i="20"/>
  <c r="F48" i="20"/>
  <c r="G48" i="20"/>
  <c r="H48" i="20"/>
  <c r="I48" i="20"/>
  <c r="J48" i="20"/>
  <c r="K48" i="20"/>
  <c r="L48" i="20"/>
  <c r="M48" i="20"/>
  <c r="N48" i="20"/>
  <c r="N50" i="20"/>
  <c r="B52" i="20"/>
  <c r="C52" i="20"/>
  <c r="D52" i="20"/>
  <c r="E52" i="20"/>
  <c r="F52" i="20"/>
  <c r="G52" i="20"/>
  <c r="H52" i="20"/>
  <c r="I52" i="20"/>
  <c r="J52" i="20"/>
  <c r="K52" i="20"/>
  <c r="L52" i="20"/>
  <c r="M52" i="20"/>
  <c r="N52" i="20"/>
  <c r="N11" i="21"/>
  <c r="N12" i="21"/>
  <c r="N13" i="21"/>
  <c r="N14" i="21"/>
  <c r="N15" i="21"/>
  <c r="N16" i="21"/>
  <c r="N17" i="21"/>
  <c r="N18" i="21"/>
  <c r="N19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N23" i="21"/>
  <c r="N24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N28" i="21"/>
  <c r="N29" i="21"/>
  <c r="N30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N32" i="21"/>
  <c r="N35" i="21"/>
  <c r="N36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N40" i="21"/>
  <c r="N41" i="21"/>
  <c r="N42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N46" i="21"/>
  <c r="N47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N50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W12" i="1"/>
  <c r="X12" i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Y21" i="1"/>
  <c r="Z21" i="1"/>
  <c r="AA21" i="1"/>
  <c r="W24" i="1"/>
  <c r="X24" i="1"/>
  <c r="W25" i="1"/>
  <c r="X25" i="1"/>
  <c r="W29" i="1"/>
  <c r="X29" i="1"/>
  <c r="W30" i="1"/>
  <c r="X30" i="1"/>
  <c r="Y32" i="1"/>
  <c r="Z32" i="1"/>
  <c r="AA32" i="1"/>
  <c r="W34" i="1"/>
  <c r="X34" i="1"/>
  <c r="W37" i="1"/>
  <c r="X37" i="1"/>
  <c r="X39" i="1"/>
  <c r="W38" i="1"/>
  <c r="W39" i="1"/>
  <c r="Y39" i="1"/>
  <c r="Z39" i="1"/>
  <c r="AA39" i="1"/>
  <c r="W52" i="1"/>
  <c r="X52" i="1"/>
  <c r="W53" i="1"/>
  <c r="X53" i="1"/>
  <c r="Y54" i="1"/>
  <c r="Z54" i="1"/>
  <c r="AA54" i="1"/>
  <c r="W56" i="1"/>
  <c r="X56" i="1"/>
  <c r="W57" i="1"/>
  <c r="X57" i="1"/>
  <c r="Y58" i="1"/>
  <c r="Z58" i="1"/>
  <c r="AA58" i="1"/>
  <c r="W60" i="1"/>
  <c r="X60" i="1"/>
  <c r="N37" i="22"/>
  <c r="N20" i="22"/>
  <c r="N43" i="22"/>
  <c r="J52" i="22"/>
  <c r="I52" i="22"/>
  <c r="F52" i="22"/>
  <c r="N25" i="22"/>
  <c r="B52" i="22"/>
  <c r="C52" i="22"/>
  <c r="E52" i="22"/>
  <c r="N52" i="22"/>
  <c r="X32" i="1"/>
  <c r="X58" i="1"/>
  <c r="W58" i="1"/>
  <c r="W32" i="1"/>
  <c r="X21" i="1"/>
  <c r="X54" i="1"/>
  <c r="W21" i="1"/>
  <c r="W54" i="1"/>
  <c r="AD62" i="1"/>
</calcChain>
</file>

<file path=xl/sharedStrings.xml><?xml version="1.0" encoding="utf-8"?>
<sst xmlns="http://schemas.openxmlformats.org/spreadsheetml/2006/main" count="952" uniqueCount="140">
  <si>
    <t>Petroleum Planning &amp; Analysis Cell</t>
  </si>
  <si>
    <t>Period : Since 1998 -99</t>
  </si>
  <si>
    <t>('000 Metric Tonnes)</t>
  </si>
  <si>
    <t>Crude Oil Processed by Refineries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</si>
  <si>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</si>
  <si>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</si>
  <si>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</si>
  <si>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</si>
  <si>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</si>
  <si>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</si>
  <si>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</si>
  <si>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</si>
  <si>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 xml:space="preserve">2006-07 </t>
  </si>
  <si>
    <t>2007-08</t>
  </si>
  <si>
    <t xml:space="preserve">2008-09 </t>
  </si>
  <si>
    <t>2009-10</t>
  </si>
  <si>
    <t>2010-11</t>
  </si>
  <si>
    <t>Indian Oil Corporation Ltd.(IOCL)</t>
  </si>
  <si>
    <t>IOCL-KOYALI, GUJARAT</t>
  </si>
  <si>
    <t>IOCL-MATHURA, UTTAR PRADESH</t>
  </si>
  <si>
    <t>IOCL-PANIPAT, HARYANA</t>
  </si>
  <si>
    <t>IOCL-HALDIA, WEST BENGAL</t>
  </si>
  <si>
    <t>IOCL-BARAUNI,BIHAR</t>
  </si>
  <si>
    <t>IOCL-GUWAHATI,ASSAM</t>
  </si>
  <si>
    <t>IOCL-DIGBOI,ASSAM</t>
  </si>
  <si>
    <t>IOCL-BONGAIGAON,ASSAM</t>
  </si>
  <si>
    <t xml:space="preserve"> -</t>
  </si>
  <si>
    <t>IOCL TOTAL</t>
  </si>
  <si>
    <t>Hindustan Petroleum Corporation Ltd.(HPCL)</t>
  </si>
  <si>
    <t>HPCL-MUMBAI,MAHARASHTRA</t>
  </si>
  <si>
    <t>HPCL-VISAKH,ANDHRA PRADESH</t>
  </si>
  <si>
    <t>HPCL-TOTAL</t>
  </si>
  <si>
    <t>Bharat Petroleum Corporation Ltd (BPCL)</t>
  </si>
  <si>
    <t>BPCL-MUMBAI, MAHARASHTRA</t>
  </si>
  <si>
    <t>BPCL-KOCHI,KERALA</t>
  </si>
  <si>
    <t>BPCL-TOTAL</t>
  </si>
  <si>
    <t>Chennai Petroleum Corporation Ltd (CPCL)</t>
  </si>
  <si>
    <t>CPCL-MANALI, TAMILNADU</t>
  </si>
  <si>
    <t>CPCL-NARIMANAM,TAMILNADU</t>
  </si>
  <si>
    <t>CPCL-TOTAL</t>
  </si>
  <si>
    <t>Oil &amp; Natural Gas Corporation Ltd.(ONGC)</t>
  </si>
  <si>
    <t>ONGC-TATIPAKA,ANDHRA PRADESH</t>
  </si>
  <si>
    <t>MRPL-MANGALORE,KARNATAKA</t>
  </si>
  <si>
    <t>ONGC TOTAL</t>
  </si>
  <si>
    <t>Reliance Industries Ltd. (RIL)</t>
  </si>
  <si>
    <t>RIL,JAMNAGAR,GUJARAT</t>
  </si>
  <si>
    <t>RIL-(SEZ), JAMNAGAR,GUJARAT</t>
  </si>
  <si>
    <t>RIL TOTAL</t>
  </si>
  <si>
    <t>ESSAR OIL LTD.,VADINAR,GUJARAT</t>
  </si>
  <si>
    <t>GRAND TOTAL</t>
  </si>
  <si>
    <t>2011-12 (April_March)</t>
  </si>
  <si>
    <t xml:space="preserve">OIL COMPANIES </t>
  </si>
  <si>
    <t>APR</t>
  </si>
  <si>
    <t>MAY</t>
  </si>
  <si>
    <t>JUN</t>
  </si>
  <si>
    <t>JULY</t>
  </si>
  <si>
    <t>AUG</t>
  </si>
  <si>
    <t>SEPT</t>
  </si>
  <si>
    <t>OCT</t>
  </si>
  <si>
    <t>NOV</t>
  </si>
  <si>
    <t>DEC</t>
  </si>
  <si>
    <t>JAN</t>
  </si>
  <si>
    <t>FEB</t>
  </si>
  <si>
    <t>MAR</t>
  </si>
  <si>
    <t>TOTAL</t>
  </si>
  <si>
    <t>BPCL-KOCHI, KERALA</t>
  </si>
  <si>
    <t>NRL-NUMALIGARH, ASSAM</t>
  </si>
  <si>
    <t>BORL-BINA</t>
  </si>
  <si>
    <t>Note :</t>
  </si>
  <si>
    <t xml:space="preserve">All figures are provisional.  Source : Oil Companies. </t>
  </si>
  <si>
    <t>RIL-SEZ updated on 15.06.2011</t>
  </si>
  <si>
    <t>2012-13 (April_March)</t>
  </si>
  <si>
    <t>HMEL-GGSR, BATHINDA, PUNJAB</t>
  </si>
  <si>
    <t>HMELRefinery upto March actual data month wise prorated.</t>
  </si>
  <si>
    <t>APRIL</t>
  </si>
  <si>
    <t>JUNE</t>
  </si>
  <si>
    <t>AUGUST</t>
  </si>
  <si>
    <t>SEPTEMBER</t>
  </si>
  <si>
    <t>OCTOBER</t>
  </si>
  <si>
    <t>NOVEMBER</t>
  </si>
  <si>
    <t>JANUARY</t>
  </si>
  <si>
    <t>February</t>
  </si>
  <si>
    <t>March</t>
  </si>
  <si>
    <t>Total</t>
  </si>
  <si>
    <t>2010-11 (April-March)</t>
  </si>
  <si>
    <t>DECEMBER</t>
  </si>
  <si>
    <t>2011-12</t>
  </si>
  <si>
    <t xml:space="preserve"> Source : Oil Companies. </t>
  </si>
  <si>
    <t>2012-13</t>
  </si>
  <si>
    <t xml:space="preserve">2013-14 </t>
  </si>
  <si>
    <t>2014-15 (अप्रेल-मार्च)</t>
  </si>
  <si>
    <t>IOCL -PARADIP</t>
  </si>
  <si>
    <t>2015-16 (Apr - March)</t>
  </si>
  <si>
    <t>2014-15</t>
  </si>
  <si>
    <t>Note:</t>
  </si>
  <si>
    <t>2013-14 (April-March) 26.05.16</t>
  </si>
  <si>
    <t>2015-16</t>
  </si>
  <si>
    <t xml:space="preserve">2016-17 </t>
  </si>
  <si>
    <t>SEP</t>
  </si>
  <si>
    <t>IOCL-PARADIP,ODISHA</t>
  </si>
  <si>
    <t>Hindustan Petroleum Corporation Ltd. (HPCL)</t>
  </si>
  <si>
    <t>Bharat Petroleum Corporation Ltd.  (BPCL)</t>
  </si>
  <si>
    <t>Chennai Petroleum Corporation Ltd. (CPCL)</t>
  </si>
  <si>
    <t>Oil &amp; Natural Gas Corporation Ltd. (ONGC)</t>
  </si>
  <si>
    <t>IOCL-PARADIP,ODISHA*</t>
  </si>
  <si>
    <t xml:space="preserve">  Source : Oil Companies. *"April 2015- January 2016" production data of Paradip Refinery  incorporated in  the  January 2016.</t>
  </si>
  <si>
    <t>Indian Oil Corporation Ltd. (IOCL)</t>
  </si>
  <si>
    <t>2017-18</t>
  </si>
  <si>
    <t xml:space="preserve">Source : Oil Companies. </t>
  </si>
  <si>
    <t xml:space="preserve">2017-18 </t>
  </si>
  <si>
    <t>Bongaigaon Refinery &amp; Petrochemicals Ltd.
(BRPL)-Bongaigaon, Assam</t>
  </si>
  <si>
    <r>
      <t>NAYARA ENERGY LTD.
VADINAR, GUJARAT,</t>
    </r>
    <r>
      <rPr>
        <sz val="9"/>
        <color indexed="8"/>
        <rFont val="Times New Roman"/>
        <family val="1"/>
      </rPr>
      <t xml:space="preserve"> (Formerly </t>
    </r>
    <r>
      <rPr>
        <i/>
        <sz val="9"/>
        <color indexed="8"/>
        <rFont val="Times New Roman"/>
        <family val="1"/>
      </rPr>
      <t>ESSAR OIL LTD.)</t>
    </r>
  </si>
  <si>
    <t>Numaligarh Refinery Ltd.(NRL)
Numaligarh, Assam</t>
  </si>
  <si>
    <r>
      <t>NAYARA ENERGY LTD.
VADINAR, GUJARAT,</t>
    </r>
    <r>
      <rPr>
        <i/>
        <sz val="9"/>
        <rFont val="Times New Roman"/>
        <family val="1"/>
      </rPr>
      <t>(Formerly ESSAR OIL LTD.)</t>
    </r>
  </si>
  <si>
    <t>2018-19</t>
  </si>
  <si>
    <t>NEL-VADINAR,GUJARAT</t>
  </si>
  <si>
    <r>
      <t>2018-19</t>
    </r>
    <r>
      <rPr>
        <b/>
        <vertAlign val="superscript"/>
        <sz val="10"/>
        <rFont val="Arial"/>
        <family val="2"/>
      </rPr>
      <t xml:space="preserve"> </t>
    </r>
  </si>
  <si>
    <t xml:space="preserve">  Source : Oil Companies. </t>
  </si>
  <si>
    <t>2019-20</t>
  </si>
  <si>
    <t>Hindustan Petroleum Corporation Ltd.  (HPCL)</t>
  </si>
  <si>
    <t xml:space="preserve">Source : Oil Companies; (P): Provisional
</t>
  </si>
  <si>
    <t xml:space="preserve"> Source : Oil Companies. 
All figures are provisional. </t>
  </si>
  <si>
    <t>2020-21</t>
  </si>
  <si>
    <t xml:space="preserve"> Source : Oil Companies. 
</t>
  </si>
  <si>
    <t>Source : Oil Companies.</t>
  </si>
  <si>
    <t xml:space="preserve">2021-22 </t>
  </si>
  <si>
    <t xml:space="preserve">2022-23 (P) </t>
  </si>
  <si>
    <t xml:space="preserve"> Source : Oil Companies. All figures are provisional. </t>
  </si>
  <si>
    <t xml:space="preserve">2023-24 (P) </t>
  </si>
  <si>
    <t xml:space="preserve">2024-25 (P) </t>
  </si>
  <si>
    <t>BPCL-BINA, MADHYA PRADESH</t>
  </si>
  <si>
    <t>Bharat Oman Refineries Ltd.-Bina, Sagar M.P.</t>
  </si>
  <si>
    <t>2022-23</t>
  </si>
  <si>
    <t>2023-24</t>
  </si>
  <si>
    <t>BPCL-BINA, SAGAR, MADHYA PRADESH</t>
  </si>
  <si>
    <t>Kochi Refinery Ltd.-KOCHI, KERALA</t>
  </si>
  <si>
    <t>2025-26 (P)</t>
  </si>
  <si>
    <t>2024-25</t>
  </si>
  <si>
    <t>2026-27 (Till June) (P)</t>
  </si>
  <si>
    <t>HRRL Pachpadra,Rajasthan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</si>
</sst>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9" formatCode="_ * #,##0_ ;_ * \-#,##0_ ;_ * &quot;-&quot;_ ;_ @_ "/>
    <numFmt numFmtId="171" formatCode="_ * #,##0.00_ ;_ * \-#,##0.00_ ;_ * &quot;-&quot;??_ ;_ @_ "/>
    <numFmt numFmtId="178" formatCode="mmmm"/>
    <numFmt numFmtId="179" formatCode="0.0"/>
    <numFmt numFmtId="180" formatCode="0.000"/>
    <numFmt numFmtId="181" formatCode="0_);[Red]\(0\)"/>
    <numFmt numFmtId="182" formatCode="&quot;$&quot;#,##0\ ;\(&quot;$&quot;#,##0\)"/>
    <numFmt numFmtId="183" formatCode="0.00_)"/>
    <numFmt numFmtId="184" formatCode="mm/dd/yy"/>
    <numFmt numFmtId="185" formatCode="_-* #,##0_-;\-* #,##0_-;_-* &quot;-&quot;_-;_-@_-"/>
    <numFmt numFmtId="190" formatCode="_ &quot;\&quot;* #,##0_ ;_ &quot;\&quot;* \-#,##0_ ;_ &quot;\&quot;* &quot;-&quot;_ ;_ @_ "/>
    <numFmt numFmtId="191" formatCode="_ &quot;\&quot;* #,##0.00_ ;_ &quot;\&quot;* \-#,##0.00_ ;_ &quot;\&quot;* &quot;-&quot;??_ ;_ @_ "/>
    <numFmt numFmtId="192" formatCode="#,##0.00&quot; F&quot;_);[Red]\(#,##0.00&quot; F&quot;\)"/>
    <numFmt numFmtId="193" formatCode="0.0000_}"/>
    <numFmt numFmtId="194" formatCode="_-* #,##0.00_-;\-* #,##0.00_-;_-* &quot;-&quot;??_-;_-@_-"/>
    <numFmt numFmtId="195" formatCode="&quot;$&quot;#,##0.00\ ;\(&quot;$&quot;#,##0.00\)"/>
    <numFmt numFmtId="196" formatCode="0.00_);[Red]\(0.00\)"/>
    <numFmt numFmtId="197" formatCode="&quot;Rs.&quot;#,##0.00;[Red]\-&quot;Rs.&quot;#,##0.00"/>
    <numFmt numFmtId="198" formatCode="_-&quot;Rs.&quot;* #,##0_-;\-&quot;Rs.&quot;* #,##0_-;_-&quot;Rs.&quot;* &quot;-&quot;_-;_-@_-"/>
    <numFmt numFmtId="199" formatCode="_(&quot;Rs.&quot;* #,##0.00_);_(&quot;Rs.&quot;* \(#,##0.00\);_(&quot;Rs.&quot;* &quot;-&quot;??_);_(@_)"/>
    <numFmt numFmtId="200" formatCode="_-&quot;Rs.&quot;* #,##0.00_-;\-&quot;Rs.&quot;* #,##0.00_-;_-&quot;Rs.&quot;* &quot;-&quot;??_-;_-@_-"/>
    <numFmt numFmtId="201" formatCode="&quot;Rs.&quot;#,##0.00;\-&quot;Rs.&quot;#,##0.00"/>
    <numFmt numFmtId="202" formatCode="&quot;Rs.&quot;#,##0;\-&quot;Rs.&quot;#,##0"/>
    <numFmt numFmtId="203" formatCode="&quot;Rs.&quot;#,##0;[Red]\-&quot;Rs.&quot;#,##0"/>
    <numFmt numFmtId="204" formatCode="0.0000"/>
    <numFmt numFmtId="205" formatCode="0.000000"/>
    <numFmt numFmtId="209" formatCode="0.0000000000"/>
    <numFmt numFmtId="210" formatCode="0.00000000000"/>
    <numFmt numFmtId="213" formatCode="0.0000000000000"/>
    <numFmt numFmtId="214" formatCode="0.00000000000000"/>
    <numFmt numFmtId="217" formatCode="0.00000000000000000"/>
    <numFmt numFmtId="218" formatCode="_(* #,##0.000_);_(* \(#,##0.000\);_(* &quot;-&quot;???_);_(@_)"/>
    <numFmt numFmtId="220" formatCode="_(* #,##0.0_);_(* \(#,##0.0\);_(* &quot;-&quot;???_);_(@_)"/>
  </numFmts>
  <fonts count="10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b/>
      <sz val="18"/>
      <color indexed="8"/>
      <name val="Footlight MT Light"/>
      <family val="1"/>
    </font>
    <font>
      <sz val="10"/>
      <color indexed="8"/>
      <name val="Arial"/>
      <family val="2"/>
    </font>
    <font>
      <sz val="10"/>
      <color indexed="8"/>
      <name val="Antique Olive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6"/>
      <color indexed="8"/>
      <name val="Footlight MT Light"/>
      <family val="1"/>
    </font>
    <font>
      <sz val="8"/>
      <name val="Arial"/>
      <family val="2"/>
    </font>
    <font>
      <b/>
      <sz val="12"/>
      <name val="Arial"/>
      <family val="2"/>
    </font>
    <font>
      <sz val="16"/>
      <name val="Times New Roman"/>
      <family val="1"/>
    </font>
    <font>
      <b/>
      <sz val="9"/>
      <name val="Helv"/>
    </font>
    <font>
      <b/>
      <sz val="10"/>
      <name val="Times New Roman"/>
      <family val="1"/>
    </font>
    <font>
      <sz val="7"/>
      <name val="Small Fonts"/>
      <family val="2"/>
    </font>
    <font>
      <sz val="8"/>
      <name val="Helv"/>
    </font>
    <font>
      <b/>
      <sz val="12"/>
      <name val="MS Sans Serif"/>
      <family val="2"/>
    </font>
    <font>
      <sz val="12"/>
      <name val="MS Sans Serif"/>
      <family val="2"/>
    </font>
    <font>
      <b/>
      <sz val="8"/>
      <color indexed="8"/>
      <name val="Helv"/>
    </font>
    <font>
      <b/>
      <sz val="14"/>
      <name val="Times New Roman"/>
      <family val="1"/>
    </font>
    <font>
      <b/>
      <sz val="12"/>
      <name val="Times New Roman"/>
      <family val="1"/>
    </font>
    <font>
      <sz val="10"/>
      <name val="Courier"/>
      <family val="3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2"/>
      <name val="¾©"/>
      <family val="3"/>
      <charset val="129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12"/>
      <name val="¹ÙÅÁÃ¼"/>
      <family val="1"/>
      <charset val="129"/>
    </font>
    <font>
      <sz val="10"/>
      <color indexed="20"/>
      <name val="Calibri"/>
      <family val="2"/>
    </font>
    <font>
      <sz val="12"/>
      <name val="±¼¸²Ã¼"/>
      <family val="3"/>
      <charset val="129"/>
    </font>
    <font>
      <b/>
      <sz val="10"/>
      <color indexed="52"/>
      <name val="Calibri"/>
      <family val="2"/>
    </font>
    <font>
      <b/>
      <sz val="10"/>
      <color indexed="9"/>
      <name val="Calibri"/>
      <family val="2"/>
    </font>
    <font>
      <u/>
      <sz val="10"/>
      <color indexed="12"/>
      <name val="Arial"/>
      <family val="2"/>
    </font>
    <font>
      <sz val="9"/>
      <name val="Times New Roman"/>
      <family val="1"/>
    </font>
    <font>
      <sz val="12"/>
      <color indexed="8"/>
      <name val="Arial"/>
      <family val="2"/>
    </font>
    <font>
      <sz val="12"/>
      <color indexed="8"/>
      <name val="Tahoma"/>
      <family val="2"/>
    </font>
    <font>
      <sz val="10"/>
      <name val="Tahoma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1"/>
      <color indexed="62"/>
      <name val="Calibri"/>
      <family val="2"/>
    </font>
    <font>
      <u/>
      <sz val="7.5"/>
      <color indexed="12"/>
      <name val="Antique Olive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b/>
      <sz val="10"/>
      <color indexed="8"/>
      <name val="Antique Olive"/>
      <family val="2"/>
    </font>
    <font>
      <sz val="10"/>
      <color indexed="60"/>
      <name val="Calibri"/>
      <family val="2"/>
    </font>
    <font>
      <sz val="12"/>
      <name val="Arial"/>
      <family val="2"/>
    </font>
    <font>
      <sz val="9"/>
      <name val="Century Gothic"/>
      <family val="2"/>
    </font>
    <font>
      <sz val="12"/>
      <name val="Century Gothic"/>
      <family val="2"/>
    </font>
    <font>
      <b/>
      <sz val="10"/>
      <color indexed="63"/>
      <name val="Calibri"/>
      <family val="2"/>
    </font>
    <font>
      <b/>
      <sz val="18"/>
      <color indexed="62"/>
      <name val="Cambria"/>
      <family val="2"/>
    </font>
    <font>
      <sz val="10"/>
      <color indexed="12"/>
      <name val="Arial"/>
      <family val="2"/>
    </font>
    <font>
      <sz val="10"/>
      <color indexed="10"/>
      <name val="Calibri"/>
      <family val="2"/>
    </font>
    <font>
      <i/>
      <sz val="9"/>
      <name val="Times New Roman"/>
      <family val="1"/>
    </font>
    <font>
      <sz val="9"/>
      <color indexed="8"/>
      <name val="Times New Roman"/>
      <family val="1"/>
    </font>
    <font>
      <i/>
      <sz val="9"/>
      <color indexed="8"/>
      <name val="Times New Roman"/>
      <family val="1"/>
    </font>
    <font>
      <b/>
      <vertAlign val="superscript"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Tahoma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8"/>
      <color theme="1"/>
      <name val="Times New Roman"/>
      <family val="1"/>
    </font>
    <font>
      <b/>
      <u/>
      <sz val="16"/>
      <color theme="1"/>
      <name val="Times New Roman"/>
      <family val="1"/>
    </font>
    <font>
      <i/>
      <sz val="11"/>
      <color theme="1"/>
      <name val="Times New Roman"/>
      <family val="1"/>
    </font>
  </fonts>
  <fills count="7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5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54"/>
      </patternFill>
    </fill>
    <fill>
      <patternFill patternType="solid">
        <fgColor indexed="27"/>
        <bgColor indexed="27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5D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DF709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06">
    <xf numFmtId="0" fontId="0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43" fillId="0" borderId="0"/>
    <xf numFmtId="0" fontId="75" fillId="39" borderId="0" applyNumberFormat="0" applyBorder="0" applyAlignment="0" applyProtection="0"/>
    <xf numFmtId="0" fontId="44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75" fillId="39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75" fillId="39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75" fillId="39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75" fillId="39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75" fillId="39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4" fillId="3" borderId="0" applyNumberFormat="0" applyBorder="0" applyAlignment="0" applyProtection="0"/>
    <xf numFmtId="0" fontId="75" fillId="40" borderId="0" applyNumberFormat="0" applyBorder="0" applyAlignment="0" applyProtection="0"/>
    <xf numFmtId="0" fontId="44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75" fillId="4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75" fillId="4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75" fillId="4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75" fillId="4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75" fillId="4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4" fillId="5" borderId="0" applyNumberFormat="0" applyBorder="0" applyAlignment="0" applyProtection="0"/>
    <xf numFmtId="0" fontId="75" fillId="41" borderId="0" applyNumberFormat="0" applyBorder="0" applyAlignment="0" applyProtection="0"/>
    <xf numFmtId="0" fontId="44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75" fillId="41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75" fillId="41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75" fillId="41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75" fillId="41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75" fillId="41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4" fillId="7" borderId="0" applyNumberFormat="0" applyBorder="0" applyAlignment="0" applyProtection="0"/>
    <xf numFmtId="0" fontId="75" fillId="42" borderId="0" applyNumberFormat="0" applyBorder="0" applyAlignment="0" applyProtection="0"/>
    <xf numFmtId="0" fontId="44" fillId="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75" fillId="4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75" fillId="4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75" fillId="4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75" fillId="4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75" fillId="42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4" fillId="3" borderId="0" applyNumberFormat="0" applyBorder="0" applyAlignment="0" applyProtection="0"/>
    <xf numFmtId="0" fontId="75" fillId="43" borderId="0" applyNumberFormat="0" applyBorder="0" applyAlignment="0" applyProtection="0"/>
    <xf numFmtId="0" fontId="44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75" fillId="4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75" fillId="4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75" fillId="4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75" fillId="4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75" fillId="43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4" fillId="9" borderId="0" applyNumberFormat="0" applyBorder="0" applyAlignment="0" applyProtection="0"/>
    <xf numFmtId="0" fontId="75" fillId="44" borderId="0" applyNumberFormat="0" applyBorder="0" applyAlignment="0" applyProtection="0"/>
    <xf numFmtId="0" fontId="44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75" fillId="4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75" fillId="4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75" fillId="4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75" fillId="4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75" fillId="4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4" fillId="5" borderId="0" applyNumberFormat="0" applyBorder="0" applyAlignment="0" applyProtection="0"/>
    <xf numFmtId="0" fontId="75" fillId="45" borderId="0" applyNumberFormat="0" applyBorder="0" applyAlignment="0" applyProtection="0"/>
    <xf numFmtId="0" fontId="44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75" fillId="4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75" fillId="4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75" fillId="4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75" fillId="4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75" fillId="4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4" fillId="3" borderId="0" applyNumberFormat="0" applyBorder="0" applyAlignment="0" applyProtection="0"/>
    <xf numFmtId="0" fontId="75" fillId="46" borderId="0" applyNumberFormat="0" applyBorder="0" applyAlignment="0" applyProtection="0"/>
    <xf numFmtId="0" fontId="44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75" fillId="4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75" fillId="4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75" fillId="4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75" fillId="4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75" fillId="4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4" fillId="11" borderId="0" applyNumberFormat="0" applyBorder="0" applyAlignment="0" applyProtection="0"/>
    <xf numFmtId="0" fontId="75" fillId="47" borderId="0" applyNumberFormat="0" applyBorder="0" applyAlignment="0" applyProtection="0"/>
    <xf numFmtId="0" fontId="44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75" fillId="4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75" fillId="4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75" fillId="4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75" fillId="4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75" fillId="47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4" fillId="13" borderId="0" applyNumberFormat="0" applyBorder="0" applyAlignment="0" applyProtection="0"/>
    <xf numFmtId="0" fontId="75" fillId="48" borderId="0" applyNumberFormat="0" applyBorder="0" applyAlignment="0" applyProtection="0"/>
    <xf numFmtId="0" fontId="44" fillId="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75" fillId="4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75" fillId="4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75" fillId="4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75" fillId="4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75" fillId="4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4" fillId="3" borderId="0" applyNumberFormat="0" applyBorder="0" applyAlignment="0" applyProtection="0"/>
    <xf numFmtId="0" fontId="75" fillId="49" borderId="0" applyNumberFormat="0" applyBorder="0" applyAlignment="0" applyProtection="0"/>
    <xf numFmtId="0" fontId="44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75" fillId="4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75" fillId="4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75" fillId="4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75" fillId="4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75" fillId="4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4" fillId="10" borderId="0" applyNumberFormat="0" applyBorder="0" applyAlignment="0" applyProtection="0"/>
    <xf numFmtId="0" fontId="75" fillId="50" borderId="0" applyNumberFormat="0" applyBorder="0" applyAlignment="0" applyProtection="0"/>
    <xf numFmtId="0" fontId="44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75" fillId="5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75" fillId="5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75" fillId="5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75" fillId="5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75" fillId="5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4" fillId="5" borderId="0" applyNumberFormat="0" applyBorder="0" applyAlignment="0" applyProtection="0"/>
    <xf numFmtId="0" fontId="76" fillId="51" borderId="0" applyNumberFormat="0" applyBorder="0" applyAlignment="0" applyProtection="0"/>
    <xf numFmtId="0" fontId="45" fillId="16" borderId="0" applyNumberFormat="0" applyBorder="0" applyAlignment="0" applyProtection="0"/>
    <xf numFmtId="0" fontId="28" fillId="15" borderId="0" applyNumberFormat="0" applyBorder="0" applyAlignment="0" applyProtection="0"/>
    <xf numFmtId="0" fontId="76" fillId="51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45" fillId="16" borderId="0" applyNumberFormat="0" applyBorder="0" applyAlignment="0" applyProtection="0"/>
    <xf numFmtId="0" fontId="76" fillId="52" borderId="0" applyNumberFormat="0" applyBorder="0" applyAlignment="0" applyProtection="0"/>
    <xf numFmtId="0" fontId="45" fillId="11" borderId="0" applyNumberFormat="0" applyBorder="0" applyAlignment="0" applyProtection="0"/>
    <xf numFmtId="0" fontId="28" fillId="11" borderId="0" applyNumberFormat="0" applyBorder="0" applyAlignment="0" applyProtection="0"/>
    <xf numFmtId="0" fontId="76" fillId="52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45" fillId="11" borderId="0" applyNumberFormat="0" applyBorder="0" applyAlignment="0" applyProtection="0"/>
    <xf numFmtId="0" fontId="76" fillId="53" borderId="0" applyNumberFormat="0" applyBorder="0" applyAlignment="0" applyProtection="0"/>
    <xf numFmtId="0" fontId="45" fillId="13" borderId="0" applyNumberFormat="0" applyBorder="0" applyAlignment="0" applyProtection="0"/>
    <xf numFmtId="0" fontId="28" fillId="12" borderId="0" applyNumberFormat="0" applyBorder="0" applyAlignment="0" applyProtection="0"/>
    <xf numFmtId="0" fontId="76" fillId="53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45" fillId="13" borderId="0" applyNumberFormat="0" applyBorder="0" applyAlignment="0" applyProtection="0"/>
    <xf numFmtId="0" fontId="76" fillId="54" borderId="0" applyNumberFormat="0" applyBorder="0" applyAlignment="0" applyProtection="0"/>
    <xf numFmtId="0" fontId="45" fillId="18" borderId="0" applyNumberFormat="0" applyBorder="0" applyAlignment="0" applyProtection="0"/>
    <xf numFmtId="0" fontId="28" fillId="17" borderId="0" applyNumberFormat="0" applyBorder="0" applyAlignment="0" applyProtection="0"/>
    <xf numFmtId="0" fontId="76" fillId="54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45" fillId="18" borderId="0" applyNumberFormat="0" applyBorder="0" applyAlignment="0" applyProtection="0"/>
    <xf numFmtId="0" fontId="76" fillId="55" borderId="0" applyNumberFormat="0" applyBorder="0" applyAlignment="0" applyProtection="0"/>
    <xf numFmtId="0" fontId="45" fillId="16" borderId="0" applyNumberFormat="0" applyBorder="0" applyAlignment="0" applyProtection="0"/>
    <xf numFmtId="0" fontId="28" fillId="16" borderId="0" applyNumberFormat="0" applyBorder="0" applyAlignment="0" applyProtection="0"/>
    <xf numFmtId="0" fontId="76" fillId="55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45" fillId="16" borderId="0" applyNumberFormat="0" applyBorder="0" applyAlignment="0" applyProtection="0"/>
    <xf numFmtId="0" fontId="76" fillId="56" borderId="0" applyNumberFormat="0" applyBorder="0" applyAlignment="0" applyProtection="0"/>
    <xf numFmtId="0" fontId="45" fillId="5" borderId="0" applyNumberFormat="0" applyBorder="0" applyAlignment="0" applyProtection="0"/>
    <xf numFmtId="0" fontId="28" fillId="19" borderId="0" applyNumberFormat="0" applyBorder="0" applyAlignment="0" applyProtection="0"/>
    <xf numFmtId="0" fontId="76" fillId="56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45" fillId="5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28" fillId="22" borderId="0" applyNumberFormat="0" applyBorder="0" applyAlignment="0" applyProtection="0"/>
    <xf numFmtId="0" fontId="76" fillId="57" borderId="0" applyNumberFormat="0" applyBorder="0" applyAlignment="0" applyProtection="0"/>
    <xf numFmtId="0" fontId="45" fillId="16" borderId="0" applyNumberFormat="0" applyBorder="0" applyAlignment="0" applyProtection="0"/>
    <xf numFmtId="0" fontId="28" fillId="20" borderId="0" applyNumberFormat="0" applyBorder="0" applyAlignment="0" applyProtection="0"/>
    <xf numFmtId="0" fontId="76" fillId="57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45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28" fillId="26" borderId="0" applyNumberFormat="0" applyBorder="0" applyAlignment="0" applyProtection="0"/>
    <xf numFmtId="0" fontId="76" fillId="58" borderId="0" applyNumberFormat="0" applyBorder="0" applyAlignment="0" applyProtection="0"/>
    <xf numFmtId="0" fontId="45" fillId="23" borderId="0" applyNumberFormat="0" applyBorder="0" applyAlignment="0" applyProtection="0"/>
    <xf numFmtId="0" fontId="28" fillId="23" borderId="0" applyNumberFormat="0" applyBorder="0" applyAlignment="0" applyProtection="0"/>
    <xf numFmtId="0" fontId="76" fillId="58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28" fillId="23" borderId="0" applyNumberFormat="0" applyBorder="0" applyAlignment="0" applyProtection="0"/>
    <xf numFmtId="0" fontId="4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28" fillId="25" borderId="0" applyNumberFormat="0" applyBorder="0" applyAlignment="0" applyProtection="0"/>
    <xf numFmtId="0" fontId="76" fillId="59" borderId="0" applyNumberFormat="0" applyBorder="0" applyAlignment="0" applyProtection="0"/>
    <xf numFmtId="0" fontId="45" fillId="27" borderId="0" applyNumberFormat="0" applyBorder="0" applyAlignment="0" applyProtection="0"/>
    <xf numFmtId="0" fontId="28" fillId="27" borderId="0" applyNumberFormat="0" applyBorder="0" applyAlignment="0" applyProtection="0"/>
    <xf numFmtId="0" fontId="76" fillId="59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28" fillId="27" borderId="0" applyNumberFormat="0" applyBorder="0" applyAlignment="0" applyProtection="0"/>
    <xf numFmtId="0" fontId="45" fillId="2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28" fillId="25" borderId="0" applyNumberFormat="0" applyBorder="0" applyAlignment="0" applyProtection="0"/>
    <xf numFmtId="0" fontId="76" fillId="60" borderId="0" applyNumberFormat="0" applyBorder="0" applyAlignment="0" applyProtection="0"/>
    <xf numFmtId="0" fontId="45" fillId="29" borderId="0" applyNumberFormat="0" applyBorder="0" applyAlignment="0" applyProtection="0"/>
    <xf numFmtId="0" fontId="28" fillId="17" borderId="0" applyNumberFormat="0" applyBorder="0" applyAlignment="0" applyProtection="0"/>
    <xf numFmtId="0" fontId="76" fillId="60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4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28" fillId="22" borderId="0" applyNumberFormat="0" applyBorder="0" applyAlignment="0" applyProtection="0"/>
    <xf numFmtId="0" fontId="76" fillId="61" borderId="0" applyNumberFormat="0" applyBorder="0" applyAlignment="0" applyProtection="0"/>
    <xf numFmtId="0" fontId="45" fillId="16" borderId="0" applyNumberFormat="0" applyBorder="0" applyAlignment="0" applyProtection="0"/>
    <xf numFmtId="0" fontId="28" fillId="16" borderId="0" applyNumberFormat="0" applyBorder="0" applyAlignment="0" applyProtection="0"/>
    <xf numFmtId="0" fontId="76" fillId="61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45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28" fillId="32" borderId="0" applyNumberFormat="0" applyBorder="0" applyAlignment="0" applyProtection="0"/>
    <xf numFmtId="0" fontId="76" fillId="62" borderId="0" applyNumberFormat="0" applyBorder="0" applyAlignment="0" applyProtection="0"/>
    <xf numFmtId="0" fontId="45" fillId="31" borderId="0" applyNumberFormat="0" applyBorder="0" applyAlignment="0" applyProtection="0"/>
    <xf numFmtId="0" fontId="28" fillId="31" borderId="0" applyNumberFormat="0" applyBorder="0" applyAlignment="0" applyProtection="0"/>
    <xf numFmtId="0" fontId="76" fillId="62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45" fillId="31" borderId="0" applyNumberFormat="0" applyBorder="0" applyAlignment="0" applyProtection="0"/>
    <xf numFmtId="0" fontId="2" fillId="0" borderId="0" applyNumberFormat="0" applyFont="0" applyFill="0" applyBorder="0" applyAlignment="0">
      <protection locked="0"/>
    </xf>
    <xf numFmtId="0" fontId="2" fillId="0" borderId="0" applyNumberFormat="0" applyFont="0" applyFill="0" applyBorder="0" applyAlignment="0">
      <protection locked="0"/>
    </xf>
    <xf numFmtId="0" fontId="2" fillId="0" borderId="0" applyNumberFormat="0" applyFont="0" applyFill="0" applyBorder="0" applyAlignment="0">
      <protection locked="0"/>
    </xf>
    <xf numFmtId="190" fontId="46" fillId="0" borderId="0" applyFont="0" applyFill="0" applyBorder="0" applyAlignment="0" applyProtection="0"/>
    <xf numFmtId="191" fontId="46" fillId="0" borderId="0" applyFont="0" applyFill="0" applyBorder="0" applyAlignment="0" applyProtection="0"/>
    <xf numFmtId="169" fontId="46" fillId="0" borderId="0" applyFont="0" applyFill="0" applyBorder="0" applyAlignment="0" applyProtection="0"/>
    <xf numFmtId="171" fontId="46" fillId="0" borderId="0" applyFont="0" applyFill="0" applyBorder="0" applyAlignment="0" applyProtection="0"/>
    <xf numFmtId="0" fontId="77" fillId="63" borderId="0" applyNumberFormat="0" applyBorder="0" applyAlignment="0" applyProtection="0"/>
    <xf numFmtId="0" fontId="47" fillId="4" borderId="0" applyNumberFormat="0" applyBorder="0" applyAlignment="0" applyProtection="0"/>
    <xf numFmtId="0" fontId="29" fillId="4" borderId="0" applyNumberFormat="0" applyBorder="0" applyAlignment="0" applyProtection="0"/>
    <xf numFmtId="0" fontId="77" fillId="63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47" fillId="4" borderId="0" applyNumberFormat="0" applyBorder="0" applyAlignment="0" applyProtection="0"/>
    <xf numFmtId="0" fontId="2" fillId="10" borderId="0" applyNumberFormat="0" applyBorder="0" applyAlignment="0">
      <protection locked="0"/>
    </xf>
    <xf numFmtId="0" fontId="2" fillId="10" borderId="0" applyNumberFormat="0" applyBorder="0" applyAlignment="0">
      <protection locked="0"/>
    </xf>
    <xf numFmtId="0" fontId="2" fillId="10" borderId="0" applyNumberFormat="0" applyBorder="0" applyAlignment="0">
      <protection locked="0"/>
    </xf>
    <xf numFmtId="4" fontId="7" fillId="0" borderId="1" applyFill="0">
      <alignment vertical="center"/>
      <protection locked="0"/>
    </xf>
    <xf numFmtId="0" fontId="48" fillId="0" borderId="0"/>
    <xf numFmtId="0" fontId="8" fillId="0" borderId="0" applyFill="0" applyBorder="0" applyAlignment="0"/>
    <xf numFmtId="0" fontId="8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2" fillId="0" borderId="0" applyFill="0" applyBorder="0" applyAlignment="0"/>
    <xf numFmtId="0" fontId="78" fillId="64" borderId="28" applyNumberFormat="0" applyAlignment="0" applyProtection="0"/>
    <xf numFmtId="0" fontId="49" fillId="3" borderId="2" applyNumberFormat="0" applyAlignment="0" applyProtection="0"/>
    <xf numFmtId="0" fontId="30" fillId="3" borderId="2" applyNumberFormat="0" applyAlignment="0" applyProtection="0"/>
    <xf numFmtId="0" fontId="78" fillId="64" borderId="28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49" fillId="3" borderId="2" applyNumberFormat="0" applyAlignment="0" applyProtection="0"/>
    <xf numFmtId="0" fontId="79" fillId="65" borderId="29" applyNumberFormat="0" applyAlignment="0" applyProtection="0"/>
    <xf numFmtId="0" fontId="50" fillId="18" borderId="3" applyNumberFormat="0" applyAlignment="0" applyProtection="0"/>
    <xf numFmtId="0" fontId="31" fillId="18" borderId="3" applyNumberFormat="0" applyAlignment="0" applyProtection="0"/>
    <xf numFmtId="0" fontId="79" fillId="65" borderId="29" applyNumberFormat="0" applyAlignment="0" applyProtection="0"/>
    <xf numFmtId="0" fontId="31" fillId="18" borderId="3" applyNumberFormat="0" applyAlignment="0" applyProtection="0"/>
    <xf numFmtId="0" fontId="31" fillId="18" borderId="3" applyNumberFormat="0" applyAlignment="0" applyProtection="0"/>
    <xf numFmtId="0" fontId="31" fillId="18" borderId="3" applyNumberFormat="0" applyAlignment="0" applyProtection="0"/>
    <xf numFmtId="0" fontId="50" fillId="18" borderId="3" applyNumberFormat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192" fontId="52" fillId="0" borderId="0"/>
    <xf numFmtId="192" fontId="52" fillId="0" borderId="0"/>
    <xf numFmtId="192" fontId="52" fillId="0" borderId="0"/>
    <xf numFmtId="192" fontId="52" fillId="0" borderId="0"/>
    <xf numFmtId="192" fontId="52" fillId="0" borderId="0"/>
    <xf numFmtId="192" fontId="52" fillId="0" borderId="0"/>
    <xf numFmtId="192" fontId="52" fillId="0" borderId="0"/>
    <xf numFmtId="192" fontId="5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7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4" fontId="53" fillId="0" borderId="0" applyFont="0" applyFill="0" applyBorder="0" applyAlignment="0" applyProtection="0"/>
    <xf numFmtId="194" fontId="53" fillId="0" borderId="0" applyFont="0" applyFill="0" applyBorder="0" applyAlignment="0" applyProtection="0"/>
    <xf numFmtId="194" fontId="53" fillId="0" borderId="0" applyFont="0" applyFill="0" applyBorder="0" applyAlignment="0" applyProtection="0"/>
    <xf numFmtId="194" fontId="53" fillId="0" borderId="0" applyFont="0" applyFill="0" applyBorder="0" applyAlignment="0" applyProtection="0"/>
    <xf numFmtId="194" fontId="53" fillId="0" borderId="0" applyFont="0" applyFill="0" applyBorder="0" applyAlignment="0" applyProtection="0"/>
    <xf numFmtId="19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53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4" fontId="9" fillId="0" borderId="0" applyFont="0" applyFill="0" applyBorder="0" applyAlignment="0" applyProtection="0"/>
    <xf numFmtId="19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4" fontId="9" fillId="0" borderId="0" applyFont="0" applyFill="0" applyBorder="0" applyAlignment="0" applyProtection="0"/>
    <xf numFmtId="171" fontId="53" fillId="0" borderId="0" applyFont="0" applyFill="0" applyBorder="0" applyAlignment="0" applyProtection="0"/>
    <xf numFmtId="19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94" fontId="2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71" fontId="53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" fontId="9" fillId="0" borderId="0" applyFont="0" applyFill="0" applyBorder="0" applyAlignment="0" applyProtection="0"/>
    <xf numFmtId="183" fontId="2" fillId="0" borderId="0" applyFont="0" applyFill="0" applyBorder="0" applyAlignment="0" applyProtection="0"/>
    <xf numFmtId="4" fontId="9" fillId="0" borderId="0" applyFont="0" applyFill="0" applyBorder="0" applyAlignment="0" applyProtection="0"/>
    <xf numFmtId="18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8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" fontId="9" fillId="0" borderId="0" applyFont="0" applyFill="0" applyBorder="0" applyAlignment="0" applyProtection="0"/>
    <xf numFmtId="4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" fontId="9" fillId="0" borderId="0" applyFont="0" applyFill="0" applyBorder="0" applyAlignment="0" applyProtection="0"/>
    <xf numFmtId="183" fontId="2" fillId="0" borderId="0" applyFont="0" applyFill="0" applyBorder="0" applyAlignment="0" applyProtection="0"/>
    <xf numFmtId="4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9" fillId="0" borderId="0" applyFont="0" applyFill="0" applyBorder="0" applyAlignment="0" applyProtection="0"/>
    <xf numFmtId="183" fontId="2" fillId="0" borderId="0" applyFont="0" applyFill="0" applyBorder="0" applyAlignment="0" applyProtection="0"/>
    <xf numFmtId="4" fontId="9" fillId="0" borderId="0" applyFont="0" applyFill="0" applyBorder="0" applyAlignment="0" applyProtection="0"/>
    <xf numFmtId="4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5" fontId="2" fillId="0" borderId="0" applyFont="0" applyFill="0" applyBorder="0" applyAlignment="0" applyProtection="0"/>
    <xf numFmtId="4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9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0" fontId="10" fillId="0" borderId="0" applyNumberFormat="0" applyAlignment="0">
      <alignment horizontal="left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0" fillId="33" borderId="0" applyNumberFormat="0" applyBorder="0" applyAlignment="0" applyProtection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11" fillId="0" borderId="0" applyNumberFormat="0" applyAlignment="0">
      <alignment horizontal="left"/>
    </xf>
    <xf numFmtId="0" fontId="80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4" fontId="12" fillId="0" borderId="0" applyFill="0" applyBorder="0">
      <protection locked="0"/>
    </xf>
    <xf numFmtId="2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81" fillId="66" borderId="0" applyNumberFormat="0" applyBorder="0" applyAlignment="0" applyProtection="0"/>
    <xf numFmtId="0" fontId="57" fillId="6" borderId="0" applyNumberFormat="0" applyBorder="0" applyAlignment="0" applyProtection="0"/>
    <xf numFmtId="0" fontId="33" fillId="6" borderId="0" applyNumberFormat="0" applyBorder="0" applyAlignment="0" applyProtection="0"/>
    <xf numFmtId="0" fontId="81" fillId="6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57" fillId="6" borderId="0" applyNumberFormat="0" applyBorder="0" applyAlignment="0" applyProtection="0"/>
    <xf numFmtId="38" fontId="13" fillId="36" borderId="0" applyNumberFormat="0" applyBorder="0" applyAlignment="0" applyProtection="0"/>
    <xf numFmtId="38" fontId="13" fillId="36" borderId="0" applyNumberFormat="0" applyBorder="0" applyAlignment="0" applyProtection="0"/>
    <xf numFmtId="0" fontId="14" fillId="0" borderId="4" applyNumberFormat="0" applyAlignment="0" applyProtection="0">
      <alignment horizontal="left" vertical="center"/>
    </xf>
    <xf numFmtId="0" fontId="14" fillId="0" borderId="5">
      <alignment horizontal="left" vertical="center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2" fillId="0" borderId="30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2" fillId="0" borderId="30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3" fillId="0" borderId="31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3" fillId="0" borderId="31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4" fillId="0" borderId="32" applyNumberFormat="0" applyFill="0" applyAlignment="0" applyProtection="0"/>
    <xf numFmtId="0" fontId="58" fillId="0" borderId="7" applyNumberFormat="0" applyFill="0" applyAlignment="0" applyProtection="0"/>
    <xf numFmtId="0" fontId="34" fillId="0" borderId="6" applyNumberFormat="0" applyFill="0" applyAlignment="0" applyProtection="0"/>
    <xf numFmtId="0" fontId="84" fillId="0" borderId="32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58" fillId="0" borderId="7" applyNumberFormat="0" applyFill="0" applyAlignment="0" applyProtection="0"/>
    <xf numFmtId="0" fontId="84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/>
    <xf numFmtId="10" fontId="13" fillId="37" borderId="8" applyNumberFormat="0" applyBorder="0" applyAlignment="0" applyProtection="0"/>
    <xf numFmtId="10" fontId="13" fillId="37" borderId="8" applyNumberFormat="0" applyBorder="0" applyAlignment="0" applyProtection="0"/>
    <xf numFmtId="0" fontId="60" fillId="5" borderId="2" applyNumberFormat="0" applyAlignment="0" applyProtection="0"/>
    <xf numFmtId="0" fontId="60" fillId="5" borderId="2" applyNumberFormat="0" applyAlignment="0" applyProtection="0"/>
    <xf numFmtId="0" fontId="60" fillId="5" borderId="2" applyNumberFormat="0" applyAlignment="0" applyProtection="0"/>
    <xf numFmtId="0" fontId="60" fillId="5" borderId="2" applyNumberFormat="0" applyAlignment="0" applyProtection="0"/>
    <xf numFmtId="0" fontId="60" fillId="5" borderId="2" applyNumberFormat="0" applyAlignment="0" applyProtection="0"/>
    <xf numFmtId="0" fontId="60" fillId="5" borderId="2" applyNumberFormat="0" applyAlignment="0" applyProtection="0"/>
    <xf numFmtId="0" fontId="60" fillId="5" borderId="2" applyNumberFormat="0" applyAlignment="0" applyProtection="0"/>
    <xf numFmtId="0" fontId="60" fillId="5" borderId="2" applyNumberFormat="0" applyAlignment="0" applyProtection="0"/>
    <xf numFmtId="0" fontId="60" fillId="5" borderId="2" applyNumberFormat="0" applyAlignment="0" applyProtection="0"/>
    <xf numFmtId="0" fontId="60" fillId="5" borderId="2" applyNumberFormat="0" applyAlignment="0" applyProtection="0"/>
    <xf numFmtId="0" fontId="86" fillId="67" borderId="28" applyNumberFormat="0" applyAlignment="0" applyProtection="0"/>
    <xf numFmtId="0" fontId="60" fillId="5" borderId="2" applyNumberFormat="0" applyAlignment="0" applyProtection="0"/>
    <xf numFmtId="0" fontId="35" fillId="5" borderId="2" applyNumberFormat="0" applyAlignment="0" applyProtection="0"/>
    <xf numFmtId="0" fontId="86" fillId="67" borderId="28" applyNumberFormat="0" applyAlignment="0" applyProtection="0"/>
    <xf numFmtId="0" fontId="35" fillId="5" borderId="2" applyNumberFormat="0" applyAlignment="0" applyProtection="0"/>
    <xf numFmtId="0" fontId="60" fillId="5" borderId="2" applyNumberFormat="0" applyAlignment="0" applyProtection="0"/>
    <xf numFmtId="0" fontId="60" fillId="5" borderId="2" applyNumberFormat="0" applyAlignment="0" applyProtection="0"/>
    <xf numFmtId="0" fontId="35" fillId="5" borderId="2" applyNumberFormat="0" applyAlignment="0" applyProtection="0"/>
    <xf numFmtId="0" fontId="60" fillId="5" borderId="2" applyNumberFormat="0" applyAlignment="0" applyProtection="0"/>
    <xf numFmtId="0" fontId="35" fillId="5" borderId="2" applyNumberFormat="0" applyAlignment="0" applyProtection="0"/>
    <xf numFmtId="0" fontId="60" fillId="5" borderId="2" applyNumberFormat="0" applyAlignment="0" applyProtection="0"/>
    <xf numFmtId="0" fontId="60" fillId="5" borderId="2" applyNumberFormat="0" applyAlignment="0" applyProtection="0"/>
    <xf numFmtId="0" fontId="60" fillId="5" borderId="2" applyNumberFormat="0" applyAlignment="0" applyProtection="0"/>
    <xf numFmtId="0" fontId="60" fillId="5" borderId="2" applyNumberFormat="0" applyAlignment="0" applyProtection="0"/>
    <xf numFmtId="0" fontId="60" fillId="5" borderId="2" applyNumberFormat="0" applyAlignment="0" applyProtection="0"/>
    <xf numFmtId="0" fontId="60" fillId="5" borderId="2" applyNumberFormat="0" applyAlignment="0" applyProtection="0"/>
    <xf numFmtId="183" fontId="15" fillId="0" borderId="9" applyNumberFormat="0" applyFill="0" applyBorder="0">
      <alignment horizontal="left" vertical="center"/>
    </xf>
    <xf numFmtId="0" fontId="87" fillId="0" borderId="33" applyNumberFormat="0" applyFill="0" applyAlignment="0" applyProtection="0"/>
    <xf numFmtId="0" fontId="61" fillId="0" borderId="10" applyNumberFormat="0" applyFill="0" applyAlignment="0" applyProtection="0"/>
    <xf numFmtId="0" fontId="36" fillId="0" borderId="10" applyNumberFormat="0" applyFill="0" applyAlignment="0" applyProtection="0"/>
    <xf numFmtId="0" fontId="87" fillId="0" borderId="33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61" fillId="0" borderId="10" applyNumberFormat="0" applyFill="0" applyAlignment="0" applyProtection="0"/>
    <xf numFmtId="183" fontId="16" fillId="0" borderId="0"/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79" fontId="17" fillId="0" borderId="11">
      <alignment horizontal="right"/>
    </xf>
    <xf numFmtId="196" fontId="62" fillId="0" borderId="0" applyNumberFormat="0" applyFont="0" applyBorder="0" applyAlignment="0"/>
    <xf numFmtId="196" fontId="62" fillId="0" borderId="0" applyNumberFormat="0" applyFont="0" applyBorder="0" applyAlignment="0"/>
    <xf numFmtId="0" fontId="88" fillId="68" borderId="0" applyNumberFormat="0" applyBorder="0" applyAlignment="0" applyProtection="0"/>
    <xf numFmtId="0" fontId="63" fillId="13" borderId="0" applyNumberFormat="0" applyBorder="0" applyAlignment="0" applyProtection="0"/>
    <xf numFmtId="0" fontId="37" fillId="13" borderId="0" applyNumberFormat="0" applyBorder="0" applyAlignment="0" applyProtection="0"/>
    <xf numFmtId="0" fontId="88" fillId="68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63" fillId="13" borderId="0" applyNumberFormat="0" applyBorder="0" applyAlignment="0" applyProtection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37" fontId="18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41" fontId="2" fillId="0" borderId="0"/>
    <xf numFmtId="169" fontId="2" fillId="0" borderId="0"/>
    <xf numFmtId="0" fontId="64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0" fontId="75" fillId="0" borderId="0"/>
    <xf numFmtId="0" fontId="2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2" fillId="0" borderId="0"/>
    <xf numFmtId="0" fontId="75" fillId="0" borderId="0"/>
    <xf numFmtId="0" fontId="75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75" fillId="0" borderId="0"/>
    <xf numFmtId="0" fontId="75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75" fillId="0" borderId="0"/>
    <xf numFmtId="0" fontId="2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" fillId="0" borderId="0" applyBorder="0"/>
    <xf numFmtId="0" fontId="2" fillId="0" borderId="0"/>
    <xf numFmtId="0" fontId="9" fillId="0" borderId="0" applyBorder="0"/>
    <xf numFmtId="0" fontId="2" fillId="0" borderId="0"/>
    <xf numFmtId="0" fontId="2" fillId="0" borderId="0"/>
    <xf numFmtId="0" fontId="75" fillId="0" borderId="0"/>
    <xf numFmtId="0" fontId="75" fillId="0" borderId="0"/>
    <xf numFmtId="0" fontId="2" fillId="0" borderId="0"/>
    <xf numFmtId="0" fontId="2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89" fillId="0" borderId="0"/>
    <xf numFmtId="0" fontId="2" fillId="0" borderId="0"/>
    <xf numFmtId="0" fontId="89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90" fillId="0" borderId="0"/>
    <xf numFmtId="0" fontId="90" fillId="0" borderId="0"/>
    <xf numFmtId="0" fontId="75" fillId="0" borderId="0"/>
    <xf numFmtId="0" fontId="2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75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75" fillId="0" borderId="0"/>
    <xf numFmtId="0" fontId="75" fillId="0" borderId="0"/>
    <xf numFmtId="0" fontId="2" fillId="0" borderId="0"/>
    <xf numFmtId="0" fontId="2" fillId="0" borderId="0"/>
    <xf numFmtId="0" fontId="2" fillId="0" borderId="0"/>
    <xf numFmtId="0" fontId="75" fillId="0" borderId="0"/>
    <xf numFmtId="0" fontId="75" fillId="0" borderId="0"/>
    <xf numFmtId="0" fontId="13" fillId="0" borderId="0"/>
    <xf numFmtId="0" fontId="1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64" fillId="0" borderId="0"/>
    <xf numFmtId="0" fontId="2" fillId="0" borderId="0"/>
    <xf numFmtId="0" fontId="6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5" fillId="0" borderId="0"/>
    <xf numFmtId="0" fontId="75" fillId="0" borderId="0"/>
    <xf numFmtId="0" fontId="2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3" fillId="0" borderId="0"/>
    <xf numFmtId="0" fontId="2" fillId="0" borderId="0"/>
    <xf numFmtId="0" fontId="2" fillId="0" borderId="0"/>
    <xf numFmtId="0" fontId="89" fillId="0" borderId="0"/>
    <xf numFmtId="0" fontId="75" fillId="0" borderId="0"/>
    <xf numFmtId="0" fontId="75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5" fillId="0" borderId="0"/>
    <xf numFmtId="0" fontId="13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66" fillId="0" borderId="0"/>
    <xf numFmtId="0" fontId="90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2" fillId="0" borderId="0"/>
    <xf numFmtId="0" fontId="75" fillId="0" borderId="0"/>
    <xf numFmtId="0" fontId="75" fillId="0" borderId="0"/>
    <xf numFmtId="0" fontId="90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75" fillId="0" borderId="0"/>
    <xf numFmtId="0" fontId="75" fillId="0" borderId="0"/>
    <xf numFmtId="0" fontId="9" fillId="0" borderId="0" applyBorder="0"/>
    <xf numFmtId="0" fontId="2" fillId="0" borderId="0"/>
    <xf numFmtId="0" fontId="2" fillId="0" borderId="0"/>
    <xf numFmtId="0" fontId="9" fillId="0" borderId="0" applyBorder="0"/>
    <xf numFmtId="0" fontId="9" fillId="0" borderId="0" applyBorder="0"/>
    <xf numFmtId="0" fontId="9" fillId="0" borderId="0" applyBorder="0"/>
    <xf numFmtId="0" fontId="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5" fillId="0" borderId="0"/>
    <xf numFmtId="0" fontId="25" fillId="0" borderId="0"/>
    <xf numFmtId="0" fontId="75" fillId="0" borderId="0"/>
    <xf numFmtId="0" fontId="75" fillId="0" borderId="0"/>
    <xf numFmtId="0" fontId="25" fillId="0" borderId="0"/>
    <xf numFmtId="0" fontId="25" fillId="0" borderId="0"/>
    <xf numFmtId="0" fontId="75" fillId="0" borderId="0"/>
    <xf numFmtId="0" fontId="7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5" fillId="0" borderId="0"/>
    <xf numFmtId="0" fontId="75" fillId="0" borderId="0"/>
    <xf numFmtId="0" fontId="9" fillId="0" borderId="0" applyBorder="0"/>
    <xf numFmtId="0" fontId="2" fillId="0" borderId="0"/>
    <xf numFmtId="0" fontId="2" fillId="0" borderId="0"/>
    <xf numFmtId="0" fontId="75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2" fillId="0" borderId="0"/>
    <xf numFmtId="0" fontId="2" fillId="0" borderId="0"/>
    <xf numFmtId="0" fontId="9" fillId="0" borderId="0" applyBorder="0"/>
    <xf numFmtId="0" fontId="2" fillId="0" borderId="0"/>
    <xf numFmtId="0" fontId="89" fillId="0" borderId="0"/>
    <xf numFmtId="0" fontId="90" fillId="0" borderId="0"/>
    <xf numFmtId="0" fontId="90" fillId="0" borderId="0"/>
    <xf numFmtId="0" fontId="2" fillId="0" borderId="0"/>
    <xf numFmtId="0" fontId="2" fillId="0" borderId="0"/>
    <xf numFmtId="0" fontId="75" fillId="0" borderId="0"/>
    <xf numFmtId="0" fontId="7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5" fillId="0" borderId="0"/>
    <xf numFmtId="0" fontId="75" fillId="0" borderId="0"/>
    <xf numFmtId="0" fontId="2" fillId="0" borderId="0"/>
    <xf numFmtId="0" fontId="7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5" fillId="0" borderId="0"/>
    <xf numFmtId="0" fontId="75" fillId="0" borderId="0"/>
    <xf numFmtId="0" fontId="2" fillId="0" borderId="0"/>
    <xf numFmtId="0" fontId="7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1" fillId="0" borderId="0"/>
    <xf numFmtId="0" fontId="2" fillId="0" borderId="0"/>
    <xf numFmtId="0" fontId="2" fillId="0" borderId="0"/>
    <xf numFmtId="0" fontId="91" fillId="0" borderId="0"/>
    <xf numFmtId="0" fontId="9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2" fillId="0" borderId="0"/>
    <xf numFmtId="0" fontId="92" fillId="0" borderId="0"/>
    <xf numFmtId="0" fontId="2" fillId="0" borderId="0"/>
    <xf numFmtId="0" fontId="92" fillId="0" borderId="0"/>
    <xf numFmtId="0" fontId="92" fillId="0" borderId="0"/>
    <xf numFmtId="0" fontId="9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5" fillId="0" borderId="0"/>
    <xf numFmtId="0" fontId="7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5" fillId="0" borderId="0"/>
    <xf numFmtId="0" fontId="75" fillId="0" borderId="0"/>
    <xf numFmtId="0" fontId="75" fillId="69" borderId="34" applyNumberFormat="0" applyFont="0" applyAlignment="0" applyProtection="0"/>
    <xf numFmtId="0" fontId="2" fillId="7" borderId="13" applyNumberFormat="0" applyFont="0" applyAlignment="0" applyProtection="0"/>
    <xf numFmtId="0" fontId="2" fillId="7" borderId="12" applyNumberFormat="0" applyFont="0" applyAlignment="0" applyProtection="0"/>
    <xf numFmtId="0" fontId="2" fillId="7" borderId="13" applyNumberFormat="0" applyFont="0" applyAlignment="0" applyProtection="0"/>
    <xf numFmtId="0" fontId="2" fillId="7" borderId="12" applyNumberFormat="0" applyFont="0" applyAlignment="0" applyProtection="0"/>
    <xf numFmtId="0" fontId="2" fillId="7" borderId="12" applyNumberFormat="0" applyFont="0" applyAlignment="0" applyProtection="0"/>
    <xf numFmtId="0" fontId="1" fillId="69" borderId="34" applyNumberFormat="0" applyFont="0" applyAlignment="0" applyProtection="0"/>
    <xf numFmtId="0" fontId="1" fillId="69" borderId="34" applyNumberFormat="0" applyFont="0" applyAlignment="0" applyProtection="0"/>
    <xf numFmtId="0" fontId="1" fillId="69" borderId="34" applyNumberFormat="0" applyFont="0" applyAlignment="0" applyProtection="0"/>
    <xf numFmtId="0" fontId="1" fillId="69" borderId="34" applyNumberFormat="0" applyFont="0" applyAlignment="0" applyProtection="0"/>
    <xf numFmtId="0" fontId="2" fillId="7" borderId="12" applyNumberFormat="0" applyFont="0" applyAlignment="0" applyProtection="0"/>
    <xf numFmtId="0" fontId="75" fillId="69" borderId="34" applyNumberFormat="0" applyFont="0" applyAlignment="0" applyProtection="0"/>
    <xf numFmtId="0" fontId="2" fillId="7" borderId="12" applyNumberFormat="0" applyFont="0" applyAlignment="0" applyProtection="0"/>
    <xf numFmtId="0" fontId="2" fillId="7" borderId="12" applyNumberFormat="0" applyFont="0" applyAlignment="0" applyProtection="0"/>
    <xf numFmtId="0" fontId="2" fillId="7" borderId="12" applyNumberFormat="0" applyFont="0" applyAlignment="0" applyProtection="0"/>
    <xf numFmtId="0" fontId="1" fillId="69" borderId="34" applyNumberFormat="0" applyFont="0" applyAlignment="0" applyProtection="0"/>
    <xf numFmtId="0" fontId="1" fillId="69" borderId="34" applyNumberFormat="0" applyFont="0" applyAlignment="0" applyProtection="0"/>
    <xf numFmtId="0" fontId="1" fillId="69" borderId="34" applyNumberFormat="0" applyFont="0" applyAlignment="0" applyProtection="0"/>
    <xf numFmtId="0" fontId="1" fillId="69" borderId="34" applyNumberFormat="0" applyFont="0" applyAlignment="0" applyProtection="0"/>
    <xf numFmtId="0" fontId="2" fillId="7" borderId="12" applyNumberFormat="0" applyFont="0" applyAlignment="0" applyProtection="0"/>
    <xf numFmtId="0" fontId="75" fillId="69" borderId="34" applyNumberFormat="0" applyFont="0" applyAlignment="0" applyProtection="0"/>
    <xf numFmtId="0" fontId="2" fillId="7" borderId="12" applyNumberFormat="0" applyFont="0" applyAlignment="0" applyProtection="0"/>
    <xf numFmtId="0" fontId="2" fillId="7" borderId="12" applyNumberFormat="0" applyFont="0" applyAlignment="0" applyProtection="0"/>
    <xf numFmtId="0" fontId="2" fillId="7" borderId="12" applyNumberFormat="0" applyFont="0" applyAlignment="0" applyProtection="0"/>
    <xf numFmtId="0" fontId="1" fillId="69" borderId="34" applyNumberFormat="0" applyFont="0" applyAlignment="0" applyProtection="0"/>
    <xf numFmtId="0" fontId="1" fillId="69" borderId="34" applyNumberFormat="0" applyFont="0" applyAlignment="0" applyProtection="0"/>
    <xf numFmtId="0" fontId="1" fillId="69" borderId="34" applyNumberFormat="0" applyFont="0" applyAlignment="0" applyProtection="0"/>
    <xf numFmtId="0" fontId="1" fillId="69" borderId="34" applyNumberFormat="0" applyFont="0" applyAlignment="0" applyProtection="0"/>
    <xf numFmtId="0" fontId="2" fillId="7" borderId="12" applyNumberFormat="0" applyFont="0" applyAlignment="0" applyProtection="0"/>
    <xf numFmtId="0" fontId="2" fillId="7" borderId="13" applyNumberFormat="0" applyFont="0" applyAlignment="0" applyProtection="0"/>
    <xf numFmtId="0" fontId="2" fillId="7" borderId="13" applyNumberFormat="0" applyFont="0" applyAlignment="0" applyProtection="0"/>
    <xf numFmtId="0" fontId="1" fillId="69" borderId="34" applyNumberFormat="0" applyFont="0" applyAlignment="0" applyProtection="0"/>
    <xf numFmtId="0" fontId="1" fillId="69" borderId="34" applyNumberFormat="0" applyFont="0" applyAlignment="0" applyProtection="0"/>
    <xf numFmtId="0" fontId="1" fillId="69" borderId="34" applyNumberFormat="0" applyFont="0" applyAlignment="0" applyProtection="0"/>
    <xf numFmtId="0" fontId="1" fillId="69" borderId="34" applyNumberFormat="0" applyFont="0" applyAlignment="0" applyProtection="0"/>
    <xf numFmtId="0" fontId="1" fillId="69" borderId="34" applyNumberFormat="0" applyFont="0" applyAlignment="0" applyProtection="0"/>
    <xf numFmtId="0" fontId="93" fillId="64" borderId="35" applyNumberFormat="0" applyAlignment="0" applyProtection="0"/>
    <xf numFmtId="0" fontId="67" fillId="3" borderId="14" applyNumberFormat="0" applyAlignment="0" applyProtection="0"/>
    <xf numFmtId="0" fontId="38" fillId="3" borderId="14" applyNumberFormat="0" applyAlignment="0" applyProtection="0"/>
    <xf numFmtId="0" fontId="93" fillId="64" borderId="35" applyNumberFormat="0" applyAlignment="0" applyProtection="0"/>
    <xf numFmtId="0" fontId="38" fillId="3" borderId="14" applyNumberFormat="0" applyAlignment="0" applyProtection="0"/>
    <xf numFmtId="0" fontId="38" fillId="3" borderId="14" applyNumberFormat="0" applyAlignment="0" applyProtection="0"/>
    <xf numFmtId="0" fontId="38" fillId="3" borderId="14" applyNumberFormat="0" applyAlignment="0" applyProtection="0"/>
    <xf numFmtId="0" fontId="67" fillId="3" borderId="14" applyNumberFormat="0" applyAlignment="0" applyProtection="0"/>
    <xf numFmtId="197" fontId="25" fillId="0" borderId="0">
      <protection hidden="1"/>
    </xf>
    <xf numFmtId="9" fontId="75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2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98" fontId="25" fillId="0" borderId="0"/>
    <xf numFmtId="185" fontId="25" fillId="0" borderId="0"/>
    <xf numFmtId="199" fontId="25" fillId="0" borderId="0"/>
    <xf numFmtId="200" fontId="25" fillId="0" borderId="0"/>
    <xf numFmtId="184" fontId="19" fillId="0" borderId="0" applyNumberFormat="0" applyFill="0" applyBorder="0" applyAlignment="0" applyProtection="0">
      <alignment horizontal="left"/>
    </xf>
    <xf numFmtId="14" fontId="19" fillId="0" borderId="0" applyNumberFormat="0" applyFill="0" applyBorder="0" applyAlignment="0" applyProtection="0">
      <alignment horizontal="left"/>
    </xf>
    <xf numFmtId="0" fontId="68" fillId="0" borderId="0" applyNumberFormat="0" applyFill="0" applyBorder="0" applyAlignment="0" applyProtection="0"/>
    <xf numFmtId="0" fontId="20" fillId="0" borderId="8">
      <alignment horizontal="center"/>
    </xf>
    <xf numFmtId="0" fontId="2" fillId="0" borderId="0"/>
    <xf numFmtId="0" fontId="20" fillId="0" borderId="8">
      <alignment horizontal="center"/>
    </xf>
    <xf numFmtId="0" fontId="20" fillId="0" borderId="8">
      <alignment horizontal="center"/>
    </xf>
    <xf numFmtId="0" fontId="20" fillId="0" borderId="8">
      <alignment horizontal="center"/>
    </xf>
    <xf numFmtId="0" fontId="20" fillId="0" borderId="8">
      <alignment horizontal="center"/>
    </xf>
    <xf numFmtId="0" fontId="20" fillId="0" borderId="8">
      <alignment horizontal="center"/>
    </xf>
    <xf numFmtId="0" fontId="20" fillId="0" borderId="8">
      <alignment horizontal="center"/>
    </xf>
    <xf numFmtId="0" fontId="20" fillId="0" borderId="8">
      <alignment horizontal="center"/>
    </xf>
    <xf numFmtId="0" fontId="20" fillId="0" borderId="8">
      <alignment horizontal="center"/>
    </xf>
    <xf numFmtId="0" fontId="20" fillId="0" borderId="8">
      <alignment horizontal="center"/>
    </xf>
    <xf numFmtId="0" fontId="20" fillId="0" borderId="8">
      <alignment horizontal="center"/>
    </xf>
    <xf numFmtId="0" fontId="20" fillId="0" borderId="8">
      <alignment horizontal="center"/>
    </xf>
    <xf numFmtId="0" fontId="20" fillId="0" borderId="8">
      <alignment horizontal="center"/>
    </xf>
    <xf numFmtId="0" fontId="20" fillId="0" borderId="8">
      <alignment horizontal="center"/>
    </xf>
    <xf numFmtId="0" fontId="20" fillId="0" borderId="8">
      <alignment horizontal="center"/>
    </xf>
    <xf numFmtId="0" fontId="20" fillId="0" borderId="8">
      <alignment horizontal="center"/>
    </xf>
    <xf numFmtId="0" fontId="20" fillId="0" borderId="8">
      <alignment horizontal="center"/>
    </xf>
    <xf numFmtId="0" fontId="20" fillId="0" borderId="8">
      <alignment horizontal="center"/>
    </xf>
    <xf numFmtId="0" fontId="20" fillId="0" borderId="8">
      <alignment horizont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1" fillId="38" borderId="0" applyNumberFormat="0" applyFill="0">
      <alignment horizontal="left" vertical="center"/>
    </xf>
    <xf numFmtId="0" fontId="21" fillId="38" borderId="0" applyNumberFormat="0" applyFill="0">
      <alignment horizontal="left" vertical="center"/>
    </xf>
    <xf numFmtId="0" fontId="21" fillId="38" borderId="0" applyNumberFormat="0" applyFill="0">
      <alignment horizontal="left" vertical="center"/>
    </xf>
    <xf numFmtId="0" fontId="21" fillId="38" borderId="0" applyNumberFormat="0" applyFill="0">
      <alignment horizontal="left" vertical="center"/>
    </xf>
    <xf numFmtId="0" fontId="21" fillId="38" borderId="0" applyNumberFormat="0" applyFill="0">
      <alignment horizontal="left" vertical="center"/>
    </xf>
    <xf numFmtId="0" fontId="21" fillId="38" borderId="0" applyNumberFormat="0" applyFill="0">
      <alignment horizontal="left" vertical="center"/>
    </xf>
    <xf numFmtId="0" fontId="21" fillId="38" borderId="0" applyNumberFormat="0" applyFill="0">
      <alignment horizontal="left" vertical="center"/>
    </xf>
    <xf numFmtId="0" fontId="21" fillId="38" borderId="0" applyNumberFormat="0" applyFill="0">
      <alignment horizontal="left" vertical="center"/>
    </xf>
    <xf numFmtId="0" fontId="21" fillId="38" borderId="0" applyNumberFormat="0" applyFill="0">
      <alignment horizontal="left" vertical="center"/>
    </xf>
    <xf numFmtId="0" fontId="21" fillId="38" borderId="0" applyNumberFormat="0" applyFill="0">
      <alignment horizontal="left" vertical="center"/>
    </xf>
    <xf numFmtId="0" fontId="21" fillId="38" borderId="0" applyNumberFormat="0" applyFill="0">
      <alignment horizontal="left" vertical="center"/>
    </xf>
    <xf numFmtId="0" fontId="21" fillId="38" borderId="0" applyNumberFormat="0" applyFill="0">
      <alignment horizontal="left" vertical="center"/>
    </xf>
    <xf numFmtId="0" fontId="21" fillId="38" borderId="0" applyNumberFormat="0" applyFill="0">
      <alignment horizontal="left" vertical="center"/>
    </xf>
    <xf numFmtId="0" fontId="21" fillId="38" borderId="0" applyNumberFormat="0" applyFill="0">
      <alignment horizontal="left" vertical="center"/>
    </xf>
    <xf numFmtId="0" fontId="21" fillId="38" borderId="0" applyNumberFormat="0" applyFill="0">
      <alignment horizontal="left" vertical="center"/>
    </xf>
    <xf numFmtId="0" fontId="21" fillId="38" borderId="0" applyNumberFormat="0" applyFill="0">
      <alignment horizontal="left" vertical="center"/>
    </xf>
    <xf numFmtId="0" fontId="21" fillId="38" borderId="0" applyNumberFormat="0" applyFill="0">
      <alignment horizontal="left" vertical="center"/>
    </xf>
    <xf numFmtId="0" fontId="21" fillId="38" borderId="0" applyNumberFormat="0" applyFill="0">
      <alignment horizontal="left" vertical="center"/>
    </xf>
    <xf numFmtId="0" fontId="21" fillId="38" borderId="0" applyNumberFormat="0" applyFill="0">
      <alignment horizontal="left" vertical="center"/>
    </xf>
    <xf numFmtId="40" fontId="22" fillId="0" borderId="0" applyBorder="0">
      <alignment horizontal="right"/>
    </xf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94" fillId="0" borderId="36" applyNumberFormat="0" applyFill="0" applyAlignment="0" applyProtection="0"/>
    <xf numFmtId="0" fontId="9" fillId="0" borderId="15" applyNumberFormat="0" applyFont="0" applyFill="0" applyAlignment="0" applyProtection="0"/>
    <xf numFmtId="0" fontId="94" fillId="0" borderId="36" applyNumberFormat="0" applyFill="0" applyAlignment="0" applyProtection="0"/>
    <xf numFmtId="0" fontId="9" fillId="0" borderId="15" applyNumberFormat="0" applyFont="0" applyFill="0" applyAlignment="0" applyProtection="0"/>
    <xf numFmtId="0" fontId="9" fillId="0" borderId="15" applyNumberFormat="0" applyFont="0" applyFill="0" applyAlignment="0" applyProtection="0"/>
    <xf numFmtId="0" fontId="9" fillId="0" borderId="15" applyNumberFormat="0" applyFont="0" applyFill="0" applyAlignment="0" applyProtection="0"/>
    <xf numFmtId="0" fontId="9" fillId="0" borderId="15" applyNumberFormat="0" applyFont="0" applyFill="0" applyAlignment="0" applyProtection="0"/>
    <xf numFmtId="201" fontId="25" fillId="0" borderId="16">
      <protection locked="0"/>
    </xf>
    <xf numFmtId="199" fontId="25" fillId="0" borderId="16">
      <protection locked="0"/>
    </xf>
    <xf numFmtId="49" fontId="69" fillId="0" borderId="8">
      <alignment vertical="top"/>
      <protection locked="0"/>
    </xf>
    <xf numFmtId="202" fontId="25" fillId="0" borderId="16">
      <protection locked="0"/>
    </xf>
    <xf numFmtId="203" fontId="25" fillId="0" borderId="16">
      <protection locked="0"/>
    </xf>
    <xf numFmtId="49" fontId="69" fillId="0" borderId="16" applyFill="0" applyAlignment="0">
      <alignment horizontal="left"/>
      <protection locked="0"/>
    </xf>
    <xf numFmtId="0" fontId="95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70" fillId="0" borderId="0" applyNumberFormat="0" applyFill="0" applyBorder="0" applyAlignment="0" applyProtection="0"/>
  </cellStyleXfs>
  <cellXfs count="270">
    <xf numFmtId="0" fontId="0" fillId="0" borderId="0" xfId="0"/>
    <xf numFmtId="0" fontId="3" fillId="0" borderId="0" xfId="1892" applyFont="1"/>
    <xf numFmtId="0" fontId="92" fillId="0" borderId="0" xfId="0" applyFont="1"/>
    <xf numFmtId="0" fontId="4" fillId="0" borderId="0" xfId="1892" applyFont="1"/>
    <xf numFmtId="0" fontId="96" fillId="0" borderId="0" xfId="0" applyFont="1" applyBorder="1"/>
    <xf numFmtId="178" fontId="92" fillId="0" borderId="0" xfId="0" applyNumberFormat="1" applyFont="1" applyAlignment="1">
      <alignment vertical="center"/>
    </xf>
    <xf numFmtId="0" fontId="3" fillId="0" borderId="8" xfId="0" applyFont="1" applyFill="1" applyBorder="1"/>
    <xf numFmtId="0" fontId="96" fillId="0" borderId="0" xfId="1975" applyFont="1"/>
    <xf numFmtId="0" fontId="4" fillId="0" borderId="8" xfId="0" applyFont="1" applyFill="1" applyBorder="1"/>
    <xf numFmtId="0" fontId="97" fillId="0" borderId="0" xfId="0" applyFont="1"/>
    <xf numFmtId="0" fontId="98" fillId="0" borderId="0" xfId="0" applyFont="1"/>
    <xf numFmtId="0" fontId="92" fillId="0" borderId="0" xfId="0" applyFont="1" applyAlignment="1">
      <alignment horizontal="left"/>
    </xf>
    <xf numFmtId="0" fontId="96" fillId="0" borderId="0" xfId="1671" applyFont="1"/>
    <xf numFmtId="179" fontId="5" fillId="0" borderId="0" xfId="1671" applyNumberFormat="1" applyFont="1" applyBorder="1"/>
    <xf numFmtId="0" fontId="96" fillId="0" borderId="0" xfId="1671" applyFont="1" applyBorder="1"/>
    <xf numFmtId="0" fontId="3" fillId="70" borderId="8" xfId="1671" applyFont="1" applyFill="1" applyBorder="1" applyAlignment="1">
      <alignment horizontal="center" vertical="center" wrapText="1"/>
    </xf>
    <xf numFmtId="0" fontId="3" fillId="70" borderId="8" xfId="1671" applyFont="1" applyFill="1" applyBorder="1" applyAlignment="1">
      <alignment horizontal="center" vertical="center"/>
    </xf>
    <xf numFmtId="178" fontId="96" fillId="0" borderId="0" xfId="1671" applyNumberFormat="1" applyFont="1" applyAlignment="1">
      <alignment vertical="center"/>
    </xf>
    <xf numFmtId="0" fontId="3" fillId="0" borderId="8" xfId="1671" applyFont="1" applyFill="1" applyBorder="1"/>
    <xf numFmtId="0" fontId="3" fillId="0" borderId="0" xfId="1671" applyFont="1" applyFill="1" applyBorder="1"/>
    <xf numFmtId="0" fontId="6" fillId="0" borderId="0" xfId="1671" quotePrefix="1" applyFont="1" applyBorder="1" applyAlignment="1">
      <alignment vertical="top" wrapText="1"/>
    </xf>
    <xf numFmtId="0" fontId="98" fillId="0" borderId="0" xfId="1671" applyFont="1"/>
    <xf numFmtId="0" fontId="4" fillId="0" borderId="8" xfId="1671" applyFont="1" applyFill="1" applyBorder="1"/>
    <xf numFmtId="1" fontId="4" fillId="0" borderId="8" xfId="1671" applyNumberFormat="1" applyFont="1" applyFill="1" applyBorder="1" applyAlignment="1">
      <alignment horizontal="center"/>
    </xf>
    <xf numFmtId="1" fontId="4" fillId="0" borderId="17" xfId="1671" applyNumberFormat="1" applyFont="1" applyFill="1" applyBorder="1" applyAlignment="1">
      <alignment horizontal="center"/>
    </xf>
    <xf numFmtId="1" fontId="96" fillId="0" borderId="8" xfId="1671" applyNumberFormat="1" applyFont="1" applyBorder="1" applyAlignment="1">
      <alignment horizontal="center"/>
    </xf>
    <xf numFmtId="1" fontId="3" fillId="0" borderId="8" xfId="1671" applyNumberFormat="1" applyFont="1" applyFill="1" applyBorder="1" applyAlignment="1">
      <alignment horizontal="center"/>
    </xf>
    <xf numFmtId="1" fontId="99" fillId="0" borderId="8" xfId="1671" applyNumberFormat="1" applyFont="1" applyBorder="1" applyAlignment="1">
      <alignment horizontal="center"/>
    </xf>
    <xf numFmtId="1" fontId="3" fillId="0" borderId="17" xfId="1671" applyNumberFormat="1" applyFont="1" applyFill="1" applyBorder="1" applyAlignment="1">
      <alignment horizontal="center"/>
    </xf>
    <xf numFmtId="179" fontId="4" fillId="0" borderId="8" xfId="1671" applyNumberFormat="1" applyFont="1" applyFill="1" applyBorder="1" applyAlignment="1">
      <alignment horizontal="center"/>
    </xf>
    <xf numFmtId="179" fontId="4" fillId="0" borderId="17" xfId="1671" applyNumberFormat="1" applyFont="1" applyFill="1" applyBorder="1" applyAlignment="1">
      <alignment horizontal="center"/>
    </xf>
    <xf numFmtId="0" fontId="96" fillId="0" borderId="0" xfId="1671" applyFont="1" applyAlignment="1">
      <alignment horizontal="left"/>
    </xf>
    <xf numFmtId="0" fontId="96" fillId="0" borderId="8" xfId="1671" applyFont="1" applyBorder="1"/>
    <xf numFmtId="1" fontId="4" fillId="0" borderId="8" xfId="1671" applyNumberFormat="1" applyFont="1" applyFill="1" applyBorder="1"/>
    <xf numFmtId="1" fontId="4" fillId="0" borderId="17" xfId="1671" applyNumberFormat="1" applyFont="1" applyFill="1" applyBorder="1"/>
    <xf numFmtId="181" fontId="4" fillId="0" borderId="8" xfId="1671" applyNumberFormat="1" applyFont="1" applyFill="1" applyBorder="1" applyAlignment="1">
      <alignment horizontal="center"/>
    </xf>
    <xf numFmtId="181" fontId="4" fillId="0" borderId="17" xfId="1671" applyNumberFormat="1" applyFont="1" applyFill="1" applyBorder="1" applyAlignment="1">
      <alignment horizontal="center"/>
    </xf>
    <xf numFmtId="0" fontId="3" fillId="0" borderId="5" xfId="1671" applyFont="1" applyBorder="1" applyAlignment="1">
      <alignment vertical="top" wrapText="1"/>
    </xf>
    <xf numFmtId="9" fontId="3" fillId="0" borderId="5" xfId="2149" applyFont="1" applyBorder="1" applyAlignment="1">
      <alignment vertical="top" wrapText="1"/>
    </xf>
    <xf numFmtId="0" fontId="6" fillId="0" borderId="17" xfId="1671" quotePrefix="1" applyFont="1" applyBorder="1" applyAlignment="1">
      <alignment vertical="top"/>
    </xf>
    <xf numFmtId="0" fontId="6" fillId="0" borderId="5" xfId="1671" quotePrefix="1" applyFont="1" applyBorder="1" applyAlignment="1">
      <alignment vertical="top"/>
    </xf>
    <xf numFmtId="0" fontId="6" fillId="0" borderId="5" xfId="1671" quotePrefix="1" applyFont="1" applyBorder="1" applyAlignment="1">
      <alignment vertical="top" wrapText="1"/>
    </xf>
    <xf numFmtId="0" fontId="96" fillId="0" borderId="5" xfId="1671" applyFont="1" applyBorder="1"/>
    <xf numFmtId="179" fontId="5" fillId="0" borderId="5" xfId="1671" applyNumberFormat="1" applyFont="1" applyBorder="1"/>
    <xf numFmtId="0" fontId="96" fillId="0" borderId="18" xfId="1671" applyFont="1" applyBorder="1"/>
    <xf numFmtId="1" fontId="96" fillId="0" borderId="0" xfId="1671" applyNumberFormat="1" applyFont="1"/>
    <xf numFmtId="0" fontId="96" fillId="0" borderId="0" xfId="0" applyFont="1" applyAlignment="1">
      <alignment horizontal="left"/>
    </xf>
    <xf numFmtId="1" fontId="96" fillId="0" borderId="8" xfId="0" applyNumberFormat="1" applyFont="1" applyBorder="1" applyAlignment="1">
      <alignment horizontal="right"/>
    </xf>
    <xf numFmtId="0" fontId="6" fillId="0" borderId="8" xfId="1671" quotePrefix="1" applyFont="1" applyBorder="1" applyAlignment="1">
      <alignment vertical="top" wrapText="1"/>
    </xf>
    <xf numFmtId="1" fontId="4" fillId="0" borderId="8" xfId="1671" applyNumberFormat="1" applyFont="1" applyFill="1" applyBorder="1" applyAlignment="1"/>
    <xf numFmtId="1" fontId="4" fillId="0" borderId="17" xfId="1671" applyNumberFormat="1" applyFont="1" applyFill="1" applyBorder="1" applyAlignment="1"/>
    <xf numFmtId="1" fontId="96" fillId="0" borderId="8" xfId="1671" applyNumberFormat="1" applyFont="1" applyBorder="1" applyAlignment="1"/>
    <xf numFmtId="1" fontId="3" fillId="0" borderId="8" xfId="1671" applyNumberFormat="1" applyFont="1" applyFill="1" applyBorder="1" applyAlignment="1"/>
    <xf numFmtId="1" fontId="99" fillId="0" borderId="8" xfId="1671" applyNumberFormat="1" applyFont="1" applyBorder="1" applyAlignment="1"/>
    <xf numFmtId="1" fontId="3" fillId="0" borderId="17" xfId="1671" applyNumberFormat="1" applyFont="1" applyFill="1" applyBorder="1" applyAlignment="1"/>
    <xf numFmtId="0" fontId="96" fillId="0" borderId="0" xfId="1671" applyFont="1" applyAlignment="1"/>
    <xf numFmtId="179" fontId="4" fillId="71" borderId="8" xfId="1671" applyNumberFormat="1" applyFont="1" applyFill="1" applyBorder="1" applyAlignment="1"/>
    <xf numFmtId="179" fontId="4" fillId="0" borderId="8" xfId="1671" applyNumberFormat="1" applyFont="1" applyFill="1" applyBorder="1" applyAlignment="1"/>
    <xf numFmtId="179" fontId="4" fillId="0" borderId="17" xfId="1671" applyNumberFormat="1" applyFont="1" applyFill="1" applyBorder="1" applyAlignment="1"/>
    <xf numFmtId="181" fontId="4" fillId="0" borderId="8" xfId="1671" applyNumberFormat="1" applyFont="1" applyFill="1" applyBorder="1" applyAlignment="1"/>
    <xf numFmtId="181" fontId="4" fillId="0" borderId="17" xfId="1671" applyNumberFormat="1" applyFont="1" applyFill="1" applyBorder="1" applyAlignment="1"/>
    <xf numFmtId="0" fontId="6" fillId="0" borderId="19" xfId="1671" quotePrefix="1" applyFont="1" applyBorder="1" applyAlignment="1">
      <alignment vertical="top"/>
    </xf>
    <xf numFmtId="0" fontId="6" fillId="0" borderId="20" xfId="1671" applyFont="1" applyBorder="1" applyAlignment="1">
      <alignment vertical="top"/>
    </xf>
    <xf numFmtId="0" fontId="6" fillId="0" borderId="20" xfId="1671" quotePrefix="1" applyFont="1" applyBorder="1" applyAlignment="1">
      <alignment vertical="top"/>
    </xf>
    <xf numFmtId="0" fontId="6" fillId="0" borderId="20" xfId="1671" quotePrefix="1" applyFont="1" applyBorder="1" applyAlignment="1">
      <alignment vertical="top" wrapText="1"/>
    </xf>
    <xf numFmtId="0" fontId="96" fillId="0" borderId="20" xfId="1671" applyFont="1" applyBorder="1"/>
    <xf numFmtId="179" fontId="5" fillId="0" borderId="20" xfId="1671" applyNumberFormat="1" applyFont="1" applyBorder="1"/>
    <xf numFmtId="0" fontId="96" fillId="0" borderId="21" xfId="1671" applyFont="1" applyBorder="1"/>
    <xf numFmtId="0" fontId="96" fillId="0" borderId="8" xfId="1671" applyFont="1" applyBorder="1" applyAlignment="1"/>
    <xf numFmtId="0" fontId="96" fillId="0" borderId="0" xfId="0" applyFont="1"/>
    <xf numFmtId="0" fontId="3" fillId="70" borderId="8" xfId="0" applyFont="1" applyFill="1" applyBorder="1" applyAlignment="1">
      <alignment horizontal="center" vertical="center" wrapText="1"/>
    </xf>
    <xf numFmtId="0" fontId="3" fillId="70" borderId="8" xfId="0" applyFont="1" applyFill="1" applyBorder="1" applyAlignment="1">
      <alignment horizontal="center" vertical="center"/>
    </xf>
    <xf numFmtId="178" fontId="96" fillId="0" borderId="0" xfId="0" applyNumberFormat="1" applyFont="1" applyAlignment="1">
      <alignment vertical="center"/>
    </xf>
    <xf numFmtId="0" fontId="3" fillId="0" borderId="0" xfId="0" applyFont="1" applyFill="1" applyBorder="1"/>
    <xf numFmtId="0" fontId="6" fillId="0" borderId="0" xfId="0" quotePrefix="1" applyFont="1" applyBorder="1" applyAlignment="1">
      <alignment vertical="top" wrapText="1"/>
    </xf>
    <xf numFmtId="1" fontId="4" fillId="0" borderId="8" xfId="0" applyNumberFormat="1" applyFont="1" applyFill="1" applyBorder="1" applyAlignment="1">
      <alignment horizontal="center"/>
    </xf>
    <xf numFmtId="1" fontId="4" fillId="0" borderId="17" xfId="0" applyNumberFormat="1" applyFont="1" applyFill="1" applyBorder="1" applyAlignment="1">
      <alignment horizontal="center"/>
    </xf>
    <xf numFmtId="1" fontId="96" fillId="0" borderId="8" xfId="0" applyNumberFormat="1" applyFont="1" applyBorder="1" applyAlignment="1">
      <alignment horizontal="center"/>
    </xf>
    <xf numFmtId="1" fontId="3" fillId="0" borderId="8" xfId="0" applyNumberFormat="1" applyFont="1" applyFill="1" applyBorder="1" applyAlignment="1">
      <alignment horizontal="center"/>
    </xf>
    <xf numFmtId="1" fontId="3" fillId="0" borderId="17" xfId="0" applyNumberFormat="1" applyFont="1" applyFill="1" applyBorder="1" applyAlignment="1">
      <alignment horizontal="center"/>
    </xf>
    <xf numFmtId="1" fontId="99" fillId="0" borderId="8" xfId="0" applyNumberFormat="1" applyFont="1" applyBorder="1" applyAlignment="1">
      <alignment horizontal="center"/>
    </xf>
    <xf numFmtId="179" fontId="4" fillId="0" borderId="8" xfId="0" applyNumberFormat="1" applyFont="1" applyFill="1" applyBorder="1" applyAlignment="1">
      <alignment horizontal="center"/>
    </xf>
    <xf numFmtId="179" fontId="4" fillId="0" borderId="17" xfId="0" applyNumberFormat="1" applyFont="1" applyFill="1" applyBorder="1" applyAlignment="1">
      <alignment horizontal="center"/>
    </xf>
    <xf numFmtId="1" fontId="4" fillId="0" borderId="8" xfId="0" applyNumberFormat="1" applyFont="1" applyFill="1" applyBorder="1"/>
    <xf numFmtId="1" fontId="4" fillId="0" borderId="17" xfId="0" applyNumberFormat="1" applyFont="1" applyFill="1" applyBorder="1"/>
    <xf numFmtId="181" fontId="4" fillId="0" borderId="8" xfId="0" applyNumberFormat="1" applyFont="1" applyFill="1" applyBorder="1" applyAlignment="1">
      <alignment horizontal="center"/>
    </xf>
    <xf numFmtId="181" fontId="4" fillId="0" borderId="17" xfId="0" applyNumberFormat="1" applyFont="1" applyFill="1" applyBorder="1" applyAlignment="1">
      <alignment horizontal="center"/>
    </xf>
    <xf numFmtId="0" fontId="3" fillId="0" borderId="5" xfId="0" applyFont="1" applyBorder="1" applyAlignment="1">
      <alignment vertical="top" wrapText="1"/>
    </xf>
    <xf numFmtId="9" fontId="3" fillId="0" borderId="5" xfId="2046" applyFont="1" applyBorder="1" applyAlignment="1">
      <alignment vertical="top" wrapText="1"/>
    </xf>
    <xf numFmtId="0" fontId="6" fillId="0" borderId="19" xfId="0" quotePrefix="1" applyFont="1" applyBorder="1" applyAlignment="1">
      <alignment vertical="top"/>
    </xf>
    <xf numFmtId="0" fontId="6" fillId="0" borderId="20" xfId="0" quotePrefix="1" applyFont="1" applyBorder="1" applyAlignment="1">
      <alignment vertical="top"/>
    </xf>
    <xf numFmtId="0" fontId="6" fillId="0" borderId="20" xfId="0" quotePrefix="1" applyFont="1" applyBorder="1" applyAlignment="1">
      <alignment vertical="top" wrapText="1"/>
    </xf>
    <xf numFmtId="0" fontId="96" fillId="0" borderId="20" xfId="0" applyFont="1" applyBorder="1"/>
    <xf numFmtId="0" fontId="96" fillId="0" borderId="21" xfId="0" applyFont="1" applyBorder="1"/>
    <xf numFmtId="1" fontId="4" fillId="71" borderId="8" xfId="1671" applyNumberFormat="1" applyFont="1" applyFill="1" applyBorder="1" applyAlignment="1"/>
    <xf numFmtId="0" fontId="3" fillId="0" borderId="17" xfId="1671" applyFont="1" applyFill="1" applyBorder="1"/>
    <xf numFmtId="1" fontId="3" fillId="0" borderId="18" xfId="1671" applyNumberFormat="1" applyFont="1" applyFill="1" applyBorder="1" applyAlignment="1"/>
    <xf numFmtId="0" fontId="4" fillId="0" borderId="17" xfId="1671" applyFont="1" applyFill="1" applyBorder="1"/>
    <xf numFmtId="1" fontId="4" fillId="0" borderId="18" xfId="1671" applyNumberFormat="1" applyFont="1" applyFill="1" applyBorder="1" applyAlignment="1"/>
    <xf numFmtId="0" fontId="6" fillId="0" borderId="5" xfId="1671" applyFont="1" applyBorder="1" applyAlignment="1">
      <alignment vertical="top"/>
    </xf>
    <xf numFmtId="0" fontId="75" fillId="0" borderId="0" xfId="1622"/>
    <xf numFmtId="0" fontId="100" fillId="0" borderId="8" xfId="1622" applyFont="1" applyBorder="1"/>
    <xf numFmtId="1" fontId="100" fillId="0" borderId="8" xfId="1622" applyNumberFormat="1" applyFont="1" applyBorder="1"/>
    <xf numFmtId="0" fontId="23" fillId="72" borderId="22" xfId="1622" applyFont="1" applyFill="1" applyBorder="1" applyAlignment="1">
      <alignment horizontal="right" vertical="top" wrapText="1"/>
    </xf>
    <xf numFmtId="0" fontId="23" fillId="72" borderId="22" xfId="1622" applyFont="1" applyFill="1" applyBorder="1" applyAlignment="1">
      <alignment vertical="top" wrapText="1"/>
    </xf>
    <xf numFmtId="0" fontId="101" fillId="0" borderId="0" xfId="1622" applyFont="1" applyAlignment="1"/>
    <xf numFmtId="1" fontId="96" fillId="0" borderId="0" xfId="1671" applyNumberFormat="1" applyFont="1" applyAlignment="1"/>
    <xf numFmtId="0" fontId="23" fillId="72" borderId="8" xfId="1622" applyFont="1" applyFill="1" applyBorder="1" applyAlignment="1">
      <alignment horizontal="right" vertical="top" wrapText="1"/>
    </xf>
    <xf numFmtId="1" fontId="75" fillId="0" borderId="0" xfId="1622" applyNumberFormat="1"/>
    <xf numFmtId="1" fontId="100" fillId="73" borderId="8" xfId="1622" applyNumberFormat="1" applyFont="1" applyFill="1" applyBorder="1"/>
    <xf numFmtId="1" fontId="102" fillId="0" borderId="8" xfId="1622" applyNumberFormat="1" applyFont="1" applyBorder="1"/>
    <xf numFmtId="0" fontId="94" fillId="0" borderId="0" xfId="1622" applyFont="1" applyAlignment="1"/>
    <xf numFmtId="0" fontId="23" fillId="72" borderId="22" xfId="1622" applyFont="1" applyFill="1" applyBorder="1" applyAlignment="1">
      <alignment vertical="center" wrapText="1"/>
    </xf>
    <xf numFmtId="0" fontId="23" fillId="72" borderId="22" xfId="1622" applyFont="1" applyFill="1" applyBorder="1" applyAlignment="1">
      <alignment horizontal="center" vertical="center" wrapText="1"/>
    </xf>
    <xf numFmtId="0" fontId="23" fillId="72" borderId="22" xfId="1622" applyFont="1" applyFill="1" applyBorder="1" applyAlignment="1">
      <alignment horizontal="center" vertical="top" wrapText="1"/>
    </xf>
    <xf numFmtId="0" fontId="102" fillId="0" borderId="8" xfId="1622" applyFont="1" applyBorder="1"/>
    <xf numFmtId="180" fontId="75" fillId="0" borderId="0" xfId="1622" applyNumberFormat="1"/>
    <xf numFmtId="0" fontId="102" fillId="0" borderId="22" xfId="1622" applyFont="1" applyBorder="1"/>
    <xf numFmtId="0" fontId="100" fillId="0" borderId="0" xfId="1622" applyFont="1" applyBorder="1" applyAlignment="1">
      <alignment horizontal="left"/>
    </xf>
    <xf numFmtId="0" fontId="75" fillId="0" borderId="0" xfId="1622" applyBorder="1"/>
    <xf numFmtId="0" fontId="75" fillId="0" borderId="0" xfId="1622" applyFill="1"/>
    <xf numFmtId="0" fontId="92" fillId="0" borderId="0" xfId="0" applyFont="1" applyFill="1"/>
    <xf numFmtId="1" fontId="97" fillId="0" borderId="0" xfId="0" applyNumberFormat="1" applyFont="1" applyFill="1"/>
    <xf numFmtId="0" fontId="92" fillId="0" borderId="0" xfId="0" applyFont="1" applyFill="1" applyAlignment="1">
      <alignment horizontal="left"/>
    </xf>
    <xf numFmtId="1" fontId="92" fillId="0" borderId="0" xfId="0" applyNumberFormat="1" applyFont="1" applyFill="1"/>
    <xf numFmtId="1" fontId="26" fillId="0" borderId="23" xfId="0" applyNumberFormat="1" applyFont="1" applyBorder="1" applyAlignment="1">
      <alignment horizontal="right"/>
    </xf>
    <xf numFmtId="1" fontId="26" fillId="0" borderId="8" xfId="0" applyNumberFormat="1" applyFont="1" applyBorder="1" applyAlignment="1">
      <alignment horizontal="right"/>
    </xf>
    <xf numFmtId="0" fontId="26" fillId="0" borderId="8" xfId="0" applyFont="1" applyFill="1" applyBorder="1"/>
    <xf numFmtId="0" fontId="27" fillId="0" borderId="8" xfId="0" applyFont="1" applyFill="1" applyBorder="1"/>
    <xf numFmtId="1" fontId="26" fillId="0" borderId="23" xfId="0" applyNumberFormat="1" applyFont="1" applyFill="1" applyBorder="1" applyAlignment="1">
      <alignment horizontal="right"/>
    </xf>
    <xf numFmtId="1" fontId="100" fillId="0" borderId="8" xfId="0" applyNumberFormat="1" applyFont="1" applyBorder="1" applyAlignment="1">
      <alignment horizontal="right"/>
    </xf>
    <xf numFmtId="1" fontId="100" fillId="74" borderId="8" xfId="0" applyNumberFormat="1" applyFont="1" applyFill="1" applyBorder="1" applyAlignment="1">
      <alignment horizontal="right"/>
    </xf>
    <xf numFmtId="1" fontId="27" fillId="0" borderId="8" xfId="0" applyNumberFormat="1" applyFont="1" applyBorder="1" applyAlignment="1">
      <alignment horizontal="right"/>
    </xf>
    <xf numFmtId="41" fontId="3" fillId="74" borderId="8" xfId="0" applyNumberFormat="1" applyFont="1" applyFill="1" applyBorder="1" applyAlignment="1">
      <alignment horizontal="right" vertical="center"/>
    </xf>
    <xf numFmtId="1" fontId="23" fillId="72" borderId="22" xfId="1622" applyNumberFormat="1" applyFont="1" applyFill="1" applyBorder="1" applyAlignment="1">
      <alignment horizontal="center" vertical="top" wrapText="1"/>
    </xf>
    <xf numFmtId="1" fontId="75" fillId="0" borderId="8" xfId="1622" applyNumberFormat="1" applyBorder="1" applyAlignment="1">
      <alignment horizontal="right"/>
    </xf>
    <xf numFmtId="1" fontId="100" fillId="0" borderId="8" xfId="1622" applyNumberFormat="1" applyFont="1" applyBorder="1" applyAlignment="1">
      <alignment horizontal="right"/>
    </xf>
    <xf numFmtId="1" fontId="75" fillId="0" borderId="8" xfId="1622" applyNumberFormat="1" applyBorder="1"/>
    <xf numFmtId="1" fontId="102" fillId="0" borderId="22" xfId="1622" applyNumberFormat="1" applyFont="1" applyBorder="1"/>
    <xf numFmtId="0" fontId="100" fillId="0" borderId="0" xfId="1622" applyFont="1" applyBorder="1"/>
    <xf numFmtId="0" fontId="100" fillId="0" borderId="20" xfId="1622" applyFont="1" applyBorder="1" applyAlignment="1">
      <alignment horizontal="left"/>
    </xf>
    <xf numFmtId="1" fontId="100" fillId="0" borderId="20" xfId="1622" applyNumberFormat="1" applyFont="1" applyBorder="1" applyAlignment="1">
      <alignment horizontal="left"/>
    </xf>
    <xf numFmtId="1" fontId="75" fillId="0" borderId="0" xfId="1622" applyNumberFormat="1" applyAlignment="1">
      <alignment horizontal="right"/>
    </xf>
    <xf numFmtId="1" fontId="100" fillId="0" borderId="0" xfId="1622" applyNumberFormat="1" applyFont="1" applyBorder="1" applyAlignment="1">
      <alignment horizontal="right"/>
    </xf>
    <xf numFmtId="1" fontId="75" fillId="0" borderId="0" xfId="1622" applyNumberFormat="1" applyBorder="1" applyAlignment="1">
      <alignment horizontal="right"/>
    </xf>
    <xf numFmtId="0" fontId="102" fillId="0" borderId="8" xfId="1622" applyFont="1" applyFill="1" applyBorder="1"/>
    <xf numFmtId="1" fontId="100" fillId="0" borderId="8" xfId="1622" applyNumberFormat="1" applyFont="1" applyFill="1" applyBorder="1"/>
    <xf numFmtId="1" fontId="75" fillId="0" borderId="0" xfId="1622" applyNumberFormat="1" applyFill="1"/>
    <xf numFmtId="180" fontId="75" fillId="0" borderId="0" xfId="1622" applyNumberFormat="1" applyFill="1"/>
    <xf numFmtId="0" fontId="100" fillId="0" borderId="8" xfId="1622" applyFont="1" applyFill="1" applyBorder="1"/>
    <xf numFmtId="1" fontId="102" fillId="0" borderId="8" xfId="1622" applyNumberFormat="1" applyFont="1" applyFill="1" applyBorder="1"/>
    <xf numFmtId="1" fontId="26" fillId="0" borderId="8" xfId="0" applyNumberFormat="1" applyFont="1" applyFill="1" applyBorder="1" applyAlignment="1">
      <alignment horizontal="right"/>
    </xf>
    <xf numFmtId="1" fontId="3" fillId="0" borderId="0" xfId="0" applyNumberFormat="1" applyFont="1" applyFill="1" applyBorder="1" applyAlignment="1">
      <alignment horizontal="right"/>
    </xf>
    <xf numFmtId="180" fontId="100" fillId="0" borderId="8" xfId="1622" applyNumberFormat="1" applyFont="1" applyBorder="1"/>
    <xf numFmtId="180" fontId="75" fillId="0" borderId="0" xfId="1622" applyNumberFormat="1" applyAlignment="1">
      <alignment horizontal="right"/>
    </xf>
    <xf numFmtId="0" fontId="75" fillId="0" borderId="0" xfId="1622" applyAlignment="1">
      <alignment vertical="top"/>
    </xf>
    <xf numFmtId="0" fontId="101" fillId="0" borderId="0" xfId="1622" applyFont="1" applyAlignment="1">
      <alignment vertical="center"/>
    </xf>
    <xf numFmtId="0" fontId="94" fillId="0" borderId="0" xfId="1622" applyFont="1" applyAlignment="1">
      <alignment vertical="center"/>
    </xf>
    <xf numFmtId="0" fontId="3" fillId="0" borderId="0" xfId="1892" applyFont="1" applyBorder="1" applyAlignment="1">
      <alignment horizontal="left"/>
    </xf>
    <xf numFmtId="0" fontId="102" fillId="0" borderId="8" xfId="1622" applyFont="1" applyBorder="1" applyAlignment="1">
      <alignment vertical="top" wrapText="1"/>
    </xf>
    <xf numFmtId="1" fontId="26" fillId="0" borderId="8" xfId="0" applyNumberFormat="1" applyFont="1" applyBorder="1" applyAlignment="1">
      <alignment vertical="center"/>
    </xf>
    <xf numFmtId="1" fontId="75" fillId="0" borderId="0" xfId="1622" applyNumberFormat="1" applyBorder="1"/>
    <xf numFmtId="1" fontId="92" fillId="0" borderId="0" xfId="0" applyNumberFormat="1" applyFont="1"/>
    <xf numFmtId="0" fontId="101" fillId="0" borderId="0" xfId="1622" applyFont="1"/>
    <xf numFmtId="0" fontId="94" fillId="0" borderId="0" xfId="1622" applyFont="1"/>
    <xf numFmtId="0" fontId="100" fillId="0" borderId="0" xfId="1622" applyFont="1"/>
    <xf numFmtId="204" fontId="75" fillId="0" borderId="0" xfId="1622" applyNumberFormat="1"/>
    <xf numFmtId="205" fontId="75" fillId="0" borderId="0" xfId="1622" applyNumberFormat="1"/>
    <xf numFmtId="1" fontId="26" fillId="0" borderId="8" xfId="0" applyNumberFormat="1" applyFont="1" applyFill="1" applyBorder="1" applyAlignment="1">
      <alignment horizontal="right" vertical="center"/>
    </xf>
    <xf numFmtId="0" fontId="92" fillId="0" borderId="8" xfId="0" applyFont="1" applyBorder="1"/>
    <xf numFmtId="1" fontId="27" fillId="74" borderId="8" xfId="0" applyNumberFormat="1" applyFont="1" applyFill="1" applyBorder="1" applyAlignment="1">
      <alignment horizontal="right"/>
    </xf>
    <xf numFmtId="0" fontId="26" fillId="0" borderId="8" xfId="0" applyFont="1" applyFill="1" applyBorder="1" applyAlignment="1"/>
    <xf numFmtId="1" fontId="26" fillId="0" borderId="8" xfId="0" applyNumberFormat="1" applyFont="1" applyBorder="1" applyAlignment="1">
      <alignment horizontal="right" vertical="center"/>
    </xf>
    <xf numFmtId="0" fontId="26" fillId="0" borderId="8" xfId="0" applyFont="1" applyBorder="1" applyAlignment="1">
      <alignment wrapText="1"/>
    </xf>
    <xf numFmtId="0" fontId="26" fillId="0" borderId="8" xfId="0" applyFont="1" applyBorder="1"/>
    <xf numFmtId="41" fontId="26" fillId="74" borderId="8" xfId="0" applyNumberFormat="1" applyFont="1" applyFill="1" applyBorder="1" applyAlignment="1">
      <alignment horizontal="right" vertical="center"/>
    </xf>
    <xf numFmtId="1" fontId="26" fillId="74" borderId="8" xfId="0" applyNumberFormat="1" applyFont="1" applyFill="1" applyBorder="1" applyAlignment="1">
      <alignment horizontal="right" vertical="center"/>
    </xf>
    <xf numFmtId="1" fontId="27" fillId="74" borderId="8" xfId="0" applyNumberFormat="1" applyFont="1" applyFill="1" applyBorder="1" applyAlignment="1">
      <alignment horizontal="right" vertical="center"/>
    </xf>
    <xf numFmtId="1" fontId="102" fillId="0" borderId="8" xfId="0" applyNumberFormat="1" applyFont="1" applyBorder="1" applyAlignment="1">
      <alignment horizontal="right"/>
    </xf>
    <xf numFmtId="0" fontId="26" fillId="0" borderId="8" xfId="0" applyFont="1" applyFill="1" applyBorder="1" applyAlignment="1">
      <alignment wrapText="1"/>
    </xf>
    <xf numFmtId="1" fontId="26" fillId="0" borderId="8" xfId="0" applyNumberFormat="1" applyFont="1" applyFill="1" applyBorder="1" applyAlignment="1">
      <alignment vertical="center"/>
    </xf>
    <xf numFmtId="0" fontId="27" fillId="0" borderId="8" xfId="0" applyFont="1" applyBorder="1"/>
    <xf numFmtId="0" fontId="6" fillId="0" borderId="8" xfId="0" applyFont="1" applyBorder="1" applyAlignment="1"/>
    <xf numFmtId="210" fontId="75" fillId="0" borderId="0" xfId="1622" applyNumberFormat="1"/>
    <xf numFmtId="0" fontId="26" fillId="0" borderId="22" xfId="0" applyFont="1" applyFill="1" applyBorder="1"/>
    <xf numFmtId="214" fontId="75" fillId="0" borderId="0" xfId="1622" applyNumberFormat="1"/>
    <xf numFmtId="214" fontId="75" fillId="0" borderId="0" xfId="1622" applyNumberFormat="1" applyFill="1"/>
    <xf numFmtId="214" fontId="75" fillId="0" borderId="0" xfId="1622" applyNumberFormat="1" applyAlignment="1">
      <alignment vertical="top"/>
    </xf>
    <xf numFmtId="209" fontId="92" fillId="0" borderId="0" xfId="0" applyNumberFormat="1" applyFont="1"/>
    <xf numFmtId="213" fontId="92" fillId="0" borderId="0" xfId="0" applyNumberFormat="1" applyFont="1"/>
    <xf numFmtId="217" fontId="92" fillId="0" borderId="0" xfId="0" applyNumberFormat="1" applyFont="1"/>
    <xf numFmtId="218" fontId="2" fillId="0" borderId="8" xfId="0" applyNumberFormat="1" applyFont="1" applyBorder="1"/>
    <xf numFmtId="0" fontId="24" fillId="72" borderId="24" xfId="1622" applyFont="1" applyFill="1" applyBorder="1" applyAlignment="1">
      <alignment vertical="center" wrapText="1"/>
    </xf>
    <xf numFmtId="178" fontId="5" fillId="72" borderId="24" xfId="1892" quotePrefix="1" applyNumberFormat="1" applyFont="1" applyFill="1" applyBorder="1" applyAlignment="1">
      <alignment horizontal="right" vertical="center"/>
    </xf>
    <xf numFmtId="178" fontId="5" fillId="72" borderId="24" xfId="1892" applyNumberFormat="1" applyFont="1" applyFill="1" applyBorder="1" applyAlignment="1">
      <alignment horizontal="right" vertical="center"/>
    </xf>
    <xf numFmtId="218" fontId="2" fillId="0" borderId="0" xfId="0" applyNumberFormat="1" applyFont="1"/>
    <xf numFmtId="220" fontId="2" fillId="0" borderId="0" xfId="0" applyNumberFormat="1" applyFont="1"/>
    <xf numFmtId="0" fontId="26" fillId="0" borderId="0" xfId="0" applyFont="1" applyFill="1" applyBorder="1" applyAlignment="1">
      <alignment horizontal="center"/>
    </xf>
    <xf numFmtId="0" fontId="26" fillId="0" borderId="0" xfId="0" applyFont="1" applyBorder="1" applyAlignment="1">
      <alignment horizontal="center"/>
    </xf>
    <xf numFmtId="0" fontId="26" fillId="0" borderId="0" xfId="0" applyFont="1" applyFill="1" applyBorder="1" applyAlignment="1">
      <alignment horizontal="left"/>
    </xf>
    <xf numFmtId="0" fontId="27" fillId="0" borderId="0" xfId="0" applyFont="1" applyBorder="1" applyAlignment="1">
      <alignment horizontal="center"/>
    </xf>
    <xf numFmtId="0" fontId="27" fillId="0" borderId="25" xfId="0" applyFont="1" applyBorder="1" applyAlignment="1">
      <alignment horizontal="center"/>
    </xf>
    <xf numFmtId="180" fontId="27" fillId="0" borderId="8" xfId="0" applyNumberFormat="1" applyFont="1" applyBorder="1" applyAlignment="1">
      <alignment horizontal="right"/>
    </xf>
    <xf numFmtId="180" fontId="26" fillId="0" borderId="8" xfId="0" applyNumberFormat="1" applyFont="1" applyBorder="1" applyAlignment="1">
      <alignment horizontal="right"/>
    </xf>
    <xf numFmtId="180" fontId="92" fillId="0" borderId="8" xfId="0" applyNumberFormat="1" applyFont="1" applyBorder="1"/>
    <xf numFmtId="180" fontId="26" fillId="0" borderId="0" xfId="0" applyNumberFormat="1" applyFont="1" applyFill="1" applyBorder="1" applyAlignment="1">
      <alignment horizontal="left"/>
    </xf>
    <xf numFmtId="180" fontId="26" fillId="0" borderId="0" xfId="0" applyNumberFormat="1" applyFont="1" applyFill="1" applyBorder="1" applyAlignment="1">
      <alignment horizontal="center"/>
    </xf>
    <xf numFmtId="180" fontId="26" fillId="0" borderId="8" xfId="0" applyNumberFormat="1" applyFont="1" applyBorder="1" applyAlignment="1">
      <alignment vertical="center"/>
    </xf>
    <xf numFmtId="180" fontId="26" fillId="0" borderId="0" xfId="0" applyNumberFormat="1" applyFont="1" applyBorder="1" applyAlignment="1">
      <alignment horizontal="center"/>
    </xf>
    <xf numFmtId="180" fontId="27" fillId="0" borderId="0" xfId="0" applyNumberFormat="1" applyFont="1" applyBorder="1" applyAlignment="1">
      <alignment horizontal="center"/>
    </xf>
    <xf numFmtId="180" fontId="3" fillId="74" borderId="8" xfId="0" applyNumberFormat="1" applyFont="1" applyFill="1" applyBorder="1" applyAlignment="1">
      <alignment horizontal="right" vertical="center"/>
    </xf>
    <xf numFmtId="180" fontId="96" fillId="0" borderId="0" xfId="1975" applyNumberFormat="1" applyFont="1"/>
    <xf numFmtId="180" fontId="92" fillId="0" borderId="0" xfId="0" applyNumberFormat="1" applyFont="1"/>
    <xf numFmtId="180" fontId="97" fillId="0" borderId="0" xfId="0" applyNumberFormat="1" applyFont="1"/>
    <xf numFmtId="180" fontId="102" fillId="0" borderId="8" xfId="1622" applyNumberFormat="1" applyFont="1" applyBorder="1"/>
    <xf numFmtId="1" fontId="26" fillId="0" borderId="0" xfId="0" applyNumberFormat="1" applyFont="1" applyFill="1" applyBorder="1" applyAlignment="1">
      <alignment horizontal="center"/>
    </xf>
    <xf numFmtId="1" fontId="26" fillId="0" borderId="0" xfId="0" applyNumberFormat="1" applyFont="1" applyFill="1" applyBorder="1" applyAlignment="1">
      <alignment horizontal="left"/>
    </xf>
    <xf numFmtId="1" fontId="92" fillId="0" borderId="8" xfId="0" applyNumberFormat="1" applyFont="1" applyBorder="1"/>
    <xf numFmtId="1" fontId="26" fillId="0" borderId="0" xfId="0" applyNumberFormat="1" applyFont="1" applyBorder="1" applyAlignment="1">
      <alignment horizontal="center"/>
    </xf>
    <xf numFmtId="1" fontId="27" fillId="0" borderId="0" xfId="0" applyNumberFormat="1" applyFont="1" applyBorder="1" applyAlignment="1">
      <alignment horizontal="center"/>
    </xf>
    <xf numFmtId="1" fontId="3" fillId="74" borderId="8" xfId="0" applyNumberFormat="1" applyFont="1" applyFill="1" applyBorder="1" applyAlignment="1">
      <alignment horizontal="right" vertical="center"/>
    </xf>
    <xf numFmtId="0" fontId="26" fillId="0" borderId="17" xfId="0" applyFont="1" applyFill="1" applyBorder="1" applyAlignment="1">
      <alignment horizontal="left"/>
    </xf>
    <xf numFmtId="0" fontId="26" fillId="0" borderId="5" xfId="0" applyFont="1" applyFill="1" applyBorder="1" applyAlignment="1">
      <alignment horizontal="left"/>
    </xf>
    <xf numFmtId="0" fontId="6" fillId="0" borderId="25" xfId="0" quotePrefix="1" applyFont="1" applyBorder="1" applyAlignment="1">
      <alignment horizontal="left" vertical="top" wrapText="1"/>
    </xf>
    <xf numFmtId="0" fontId="6" fillId="0" borderId="0" xfId="0" quotePrefix="1" applyFont="1" applyBorder="1" applyAlignment="1">
      <alignment horizontal="left" vertical="top" wrapText="1"/>
    </xf>
    <xf numFmtId="0" fontId="75" fillId="0" borderId="0" xfId="1622" applyAlignment="1">
      <alignment horizontal="center"/>
    </xf>
    <xf numFmtId="0" fontId="26" fillId="0" borderId="25" xfId="0" applyFont="1" applyBorder="1" applyAlignment="1">
      <alignment horizontal="center"/>
    </xf>
    <xf numFmtId="0" fontId="26" fillId="0" borderId="0" xfId="0" applyFont="1" applyBorder="1" applyAlignment="1">
      <alignment horizontal="center"/>
    </xf>
    <xf numFmtId="0" fontId="6" fillId="0" borderId="25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27" fillId="0" borderId="25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23" fillId="75" borderId="25" xfId="1622" applyFont="1" applyFill="1" applyBorder="1" applyAlignment="1">
      <alignment horizontal="center" vertical="top"/>
    </xf>
    <xf numFmtId="0" fontId="23" fillId="75" borderId="0" xfId="1622" applyFont="1" applyFill="1" applyBorder="1" applyAlignment="1">
      <alignment horizontal="center" vertical="top"/>
    </xf>
    <xf numFmtId="0" fontId="3" fillId="0" borderId="0" xfId="1892" applyFont="1" applyBorder="1" applyAlignment="1">
      <alignment horizontal="right"/>
    </xf>
    <xf numFmtId="0" fontId="103" fillId="0" borderId="0" xfId="1622" applyFont="1" applyAlignment="1">
      <alignment horizontal="center" vertical="top"/>
    </xf>
    <xf numFmtId="0" fontId="26" fillId="0" borderId="19" xfId="0" applyFont="1" applyFill="1" applyBorder="1" applyAlignment="1">
      <alignment horizontal="left"/>
    </xf>
    <xf numFmtId="0" fontId="26" fillId="0" borderId="20" xfId="0" applyFont="1" applyFill="1" applyBorder="1" applyAlignment="1">
      <alignment horizontal="left"/>
    </xf>
    <xf numFmtId="0" fontId="26" fillId="0" borderId="25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6" fillId="0" borderId="25" xfId="0" applyFont="1" applyFill="1" applyBorder="1" applyAlignment="1">
      <alignment horizontal="left"/>
    </xf>
    <xf numFmtId="0" fontId="26" fillId="0" borderId="0" xfId="0" applyFont="1" applyFill="1" applyBorder="1" applyAlignment="1">
      <alignment horizontal="left"/>
    </xf>
    <xf numFmtId="0" fontId="104" fillId="0" borderId="0" xfId="1622" applyFont="1" applyAlignment="1">
      <alignment horizontal="left" vertical="top"/>
    </xf>
    <xf numFmtId="0" fontId="102" fillId="0" borderId="0" xfId="1622" applyFont="1" applyAlignment="1">
      <alignment horizontal="right" vertical="top"/>
    </xf>
    <xf numFmtId="0" fontId="23" fillId="75" borderId="17" xfId="1622" applyFont="1" applyFill="1" applyBorder="1" applyAlignment="1">
      <alignment horizontal="center" vertical="top"/>
    </xf>
    <xf numFmtId="0" fontId="23" fillId="75" borderId="5" xfId="1622" applyFont="1" applyFill="1" applyBorder="1" applyAlignment="1">
      <alignment horizontal="center" vertical="top"/>
    </xf>
    <xf numFmtId="0" fontId="23" fillId="75" borderId="18" xfId="1622" applyFont="1" applyFill="1" applyBorder="1" applyAlignment="1">
      <alignment horizontal="center" vertical="top"/>
    </xf>
    <xf numFmtId="0" fontId="102" fillId="0" borderId="19" xfId="1622" applyFont="1" applyBorder="1" applyAlignment="1">
      <alignment horizontal="left"/>
    </xf>
    <xf numFmtId="0" fontId="102" fillId="0" borderId="20" xfId="1622" applyFont="1" applyBorder="1" applyAlignment="1">
      <alignment horizontal="left"/>
    </xf>
    <xf numFmtId="0" fontId="102" fillId="0" borderId="21" xfId="1622" applyFont="1" applyBorder="1" applyAlignment="1">
      <alignment horizontal="left"/>
    </xf>
    <xf numFmtId="0" fontId="100" fillId="0" borderId="26" xfId="1622" applyFont="1" applyBorder="1" applyAlignment="1">
      <alignment horizontal="left" vertical="top" wrapText="1"/>
    </xf>
    <xf numFmtId="0" fontId="100" fillId="0" borderId="27" xfId="1622" applyFont="1" applyBorder="1" applyAlignment="1">
      <alignment horizontal="left" vertical="top"/>
    </xf>
    <xf numFmtId="0" fontId="100" fillId="0" borderId="23" xfId="1622" applyFont="1" applyBorder="1" applyAlignment="1">
      <alignment horizontal="left" vertical="top"/>
    </xf>
    <xf numFmtId="0" fontId="100" fillId="0" borderId="26" xfId="1622" applyFont="1" applyBorder="1" applyAlignment="1">
      <alignment horizontal="left"/>
    </xf>
    <xf numFmtId="0" fontId="100" fillId="0" borderId="27" xfId="1622" applyFont="1" applyBorder="1" applyAlignment="1">
      <alignment horizontal="left"/>
    </xf>
    <xf numFmtId="0" fontId="100" fillId="0" borderId="23" xfId="1622" applyFont="1" applyBorder="1" applyAlignment="1">
      <alignment horizontal="left"/>
    </xf>
    <xf numFmtId="0" fontId="102" fillId="0" borderId="0" xfId="1622" applyFont="1" applyAlignment="1">
      <alignment horizontal="right" vertical="center"/>
    </xf>
    <xf numFmtId="0" fontId="105" fillId="0" borderId="26" xfId="1622" applyFont="1" applyBorder="1" applyAlignment="1">
      <alignment horizontal="left"/>
    </xf>
    <xf numFmtId="0" fontId="105" fillId="0" borderId="27" xfId="1622" applyFont="1" applyBorder="1" applyAlignment="1">
      <alignment horizontal="left"/>
    </xf>
    <xf numFmtId="0" fontId="105" fillId="0" borderId="23" xfId="1622" applyFont="1" applyBorder="1" applyAlignment="1">
      <alignment horizontal="left"/>
    </xf>
    <xf numFmtId="0" fontId="100" fillId="0" borderId="17" xfId="1622" applyFont="1" applyBorder="1" applyAlignment="1">
      <alignment horizontal="left"/>
    </xf>
    <xf numFmtId="0" fontId="100" fillId="0" borderId="5" xfId="1622" applyFont="1" applyBorder="1" applyAlignment="1">
      <alignment horizontal="left"/>
    </xf>
    <xf numFmtId="0" fontId="100" fillId="0" borderId="18" xfId="1622" applyFont="1" applyBorder="1" applyAlignment="1">
      <alignment horizontal="left"/>
    </xf>
    <xf numFmtId="0" fontId="3" fillId="0" borderId="27" xfId="1892" applyFont="1" applyBorder="1" applyAlignment="1">
      <alignment horizontal="left" vertical="center"/>
    </xf>
    <xf numFmtId="0" fontId="6" fillId="0" borderId="26" xfId="1892" applyFont="1" applyBorder="1" applyAlignment="1">
      <alignment horizontal="left" vertical="top" wrapText="1"/>
    </xf>
    <xf numFmtId="0" fontId="6" fillId="0" borderId="27" xfId="1892" applyFont="1" applyBorder="1" applyAlignment="1">
      <alignment horizontal="left" vertical="top" wrapText="1"/>
    </xf>
    <xf numFmtId="0" fontId="6" fillId="0" borderId="23" xfId="1892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top" wrapText="1"/>
    </xf>
    <xf numFmtId="0" fontId="6" fillId="0" borderId="27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</cellXfs>
  <cellStyles count="2806">
    <cellStyle name="µÚ¿¡ ¿À´Â ÇÏÀÌÆÛ¸µÅ©" xfId="1" xr:uid="{707C2E93-5AC4-471E-AE2C-78AB973E6F6C}"/>
    <cellStyle name="W?_BOOKSHIP_laroux_´ë¿ÜÇÑ¹®°ø¹® " xfId="2" xr:uid="{5988D2D2-00E2-452D-862F-EB7083E213CF}"/>
    <cellStyle name="20% - Accent1 2" xfId="3" xr:uid="{27882DF4-D569-4B4B-A674-706A381BE8CB}"/>
    <cellStyle name="20% - Accent1 2 2" xfId="4" xr:uid="{69DF983C-F50A-4CC6-BC6C-8A93D2413E55}"/>
    <cellStyle name="20% - Accent1 2 3" xfId="5" xr:uid="{0AFBC408-C0A8-407C-B31E-B717BDE6781F}"/>
    <cellStyle name="20% - Accent1 2 3 2" xfId="6" xr:uid="{8FC7CF9B-1629-490A-BB6D-A1A3FD3A6F22}"/>
    <cellStyle name="20% - Accent1 2 3 2 2" xfId="7" xr:uid="{D7F8FA30-6139-43AE-B677-D6512552C930}"/>
    <cellStyle name="20% - Accent1 2 3 2 3" xfId="8" xr:uid="{A53BBC5E-5EE3-4DCD-A9CE-5FD8203B0220}"/>
    <cellStyle name="20% - Accent1 2 3 3" xfId="9" xr:uid="{DAF71DAD-968F-4685-9CF1-16F9EC50A43B}"/>
    <cellStyle name="20% - Accent1 2 3 4" xfId="10" xr:uid="{6A2AE9B5-B30D-4518-AF22-E8277A527771}"/>
    <cellStyle name="20% - Accent1 2 4" xfId="11" xr:uid="{9F443307-487A-4F4B-A1F3-C288CFE452B3}"/>
    <cellStyle name="20% - Accent1 2 4 2" xfId="12" xr:uid="{33768CFE-4D6C-45C0-ADB1-D2AA414475F0}"/>
    <cellStyle name="20% - Accent1 2 4 3" xfId="13" xr:uid="{C444161C-8D48-49CA-8F1C-7939039F0948}"/>
    <cellStyle name="20% - Accent1 2 5" xfId="14" xr:uid="{24D96BF9-F5D7-4EC2-8980-140B43955F9B}"/>
    <cellStyle name="20% - Accent1 2 5 2" xfId="15" xr:uid="{AC5BE9E1-913B-450B-960E-4AD75D6B32F8}"/>
    <cellStyle name="20% - Accent1 2 5 3" xfId="16" xr:uid="{1B5E01EC-2C5A-40E0-AF29-76F73DAAA7DC}"/>
    <cellStyle name="20% - Accent1 2 6" xfId="17" xr:uid="{B0A3CD72-6F5C-47C1-9B83-24FD6EB7E142}"/>
    <cellStyle name="20% - Accent1 2 7" xfId="18" xr:uid="{9B7FF3FF-0440-4F03-B886-F0CD333D8C3D}"/>
    <cellStyle name="20% - Accent1 2 7 2" xfId="19" xr:uid="{E973F2B7-0EE0-40B1-8E35-0692B85FA03D}"/>
    <cellStyle name="20% - Accent1 2 7 3" xfId="20" xr:uid="{5A9254F3-8706-4EB3-A848-91CEA9783C59}"/>
    <cellStyle name="20% - Accent1 2 8" xfId="21" xr:uid="{2DE9F88C-9DBF-4C96-B6A7-9F317408BF09}"/>
    <cellStyle name="20% - Accent1 2 9" xfId="22" xr:uid="{2C3523FB-3BD8-411A-8A3A-4999D0FC9EA8}"/>
    <cellStyle name="20% - Accent1 3" xfId="23" xr:uid="{8AD7A751-FF2A-44AD-8A5E-588B0A7BBE47}"/>
    <cellStyle name="20% - Accent1 3 2" xfId="24" xr:uid="{50F98953-CDF6-4A95-A4FE-D0528280C817}"/>
    <cellStyle name="20% - Accent1 3 2 2" xfId="25" xr:uid="{FAF9F674-A89A-4E39-A6D7-23988C04FE08}"/>
    <cellStyle name="20% - Accent1 3 2 2 2" xfId="26" xr:uid="{D5D6FEE4-6D34-4D5B-9661-D118824A9D02}"/>
    <cellStyle name="20% - Accent1 3 2 2 3" xfId="27" xr:uid="{932743BB-8931-4E3D-907E-AE8AB28B233F}"/>
    <cellStyle name="20% - Accent1 3 2 3" xfId="28" xr:uid="{53600615-0B1D-47B0-98FF-036A9361ED9C}"/>
    <cellStyle name="20% - Accent1 3 2 4" xfId="29" xr:uid="{48B3B1E8-4B77-44EA-AFF6-F21F5CFBFF35}"/>
    <cellStyle name="20% - Accent1 3 3" xfId="30" xr:uid="{27279B22-9533-45C3-8556-B8D2F0B2DE34}"/>
    <cellStyle name="20% - Accent1 3 3 2" xfId="31" xr:uid="{DBE2F49F-31EF-42F3-93A3-FEAB8ABFCB3B}"/>
    <cellStyle name="20% - Accent1 3 3 3" xfId="32" xr:uid="{D575FFC1-F54B-49EB-B1FF-AB241EFE358B}"/>
    <cellStyle name="20% - Accent1 3 4" xfId="33" xr:uid="{A0F24EEF-C9FE-4967-8699-C09E7830E3A1}"/>
    <cellStyle name="20% - Accent1 3 4 2" xfId="34" xr:uid="{8D148F01-361E-4D54-999D-7BC6DD549FB3}"/>
    <cellStyle name="20% - Accent1 3 4 3" xfId="35" xr:uid="{7642D02F-2688-46A9-A9B3-1F1FC03E1CAF}"/>
    <cellStyle name="20% - Accent1 3 5" xfId="36" xr:uid="{5FA6E8C7-9507-4889-A8D3-8A759A97FC80}"/>
    <cellStyle name="20% - Accent1 3 6" xfId="37" xr:uid="{62CEF53C-6F81-4C74-915D-8F9BF11B5567}"/>
    <cellStyle name="20% - Accent1 3 6 2" xfId="38" xr:uid="{3D95176E-8D47-4496-A3E5-57125D3700B3}"/>
    <cellStyle name="20% - Accent1 3 6 3" xfId="39" xr:uid="{B464013F-F6CA-44E4-B994-7B53EA0B515B}"/>
    <cellStyle name="20% - Accent1 3 7" xfId="40" xr:uid="{AD0C9CAA-ACF0-46CC-8A01-EC95457066B8}"/>
    <cellStyle name="20% - Accent1 3 8" xfId="41" xr:uid="{16274307-9B06-44EE-B897-E62AD5167B01}"/>
    <cellStyle name="20% - Accent1 4" xfId="42" xr:uid="{E58D64E7-3E1B-4DAF-9366-1E747688A99A}"/>
    <cellStyle name="20% - Accent1 4 2" xfId="43" xr:uid="{449F3AE1-163B-496E-B96A-188571405214}"/>
    <cellStyle name="20% - Accent1 4 2 2" xfId="44" xr:uid="{75E219A5-6920-42D6-942A-8EBB656E476E}"/>
    <cellStyle name="20% - Accent1 4 2 2 2" xfId="45" xr:uid="{787C0AA1-3621-4FAF-B03F-CF99F3739137}"/>
    <cellStyle name="20% - Accent1 4 2 2 3" xfId="46" xr:uid="{F6686B35-6C21-4F07-9E83-4300F021169E}"/>
    <cellStyle name="20% - Accent1 4 2 3" xfId="47" xr:uid="{B7356034-21DC-49E7-A8AA-B00A300198F1}"/>
    <cellStyle name="20% - Accent1 4 2 4" xfId="48" xr:uid="{C0642BCC-4632-40CB-8117-9780329DD8F7}"/>
    <cellStyle name="20% - Accent1 4 3" xfId="49" xr:uid="{DEE36CDA-3F96-4609-A9D9-0B87AB54674B}"/>
    <cellStyle name="20% - Accent1 4 3 2" xfId="50" xr:uid="{316BC6F6-5994-438B-B2DF-F5526B622B8B}"/>
    <cellStyle name="20% - Accent1 4 3 3" xfId="51" xr:uid="{408FA2B7-E52C-4835-8922-8E0DB2EF1A4C}"/>
    <cellStyle name="20% - Accent1 4 4" xfId="52" xr:uid="{00649D28-E12C-4F26-91F4-30373765D092}"/>
    <cellStyle name="20% - Accent1 4 4 2" xfId="53" xr:uid="{D585A54F-ACF4-4ABA-A964-D9E44E373018}"/>
    <cellStyle name="20% - Accent1 4 4 3" xfId="54" xr:uid="{2098C6C6-C72C-43C1-BE3B-8E3B58368597}"/>
    <cellStyle name="20% - Accent1 4 5" xfId="55" xr:uid="{64B52818-CEBC-4CB7-AC98-88517ACC7DF0}"/>
    <cellStyle name="20% - Accent1 4 6" xfId="56" xr:uid="{F2D4E07B-2C5B-4567-AB30-BD550B02F383}"/>
    <cellStyle name="20% - Accent1 4 6 2" xfId="57" xr:uid="{020B8F7F-3284-4892-A30D-CD35C673CB5C}"/>
    <cellStyle name="20% - Accent1 4 6 3" xfId="58" xr:uid="{2B5F342E-44B8-487D-93EA-75399CB37CA3}"/>
    <cellStyle name="20% - Accent1 4 7" xfId="59" xr:uid="{F369E6C2-95CC-4D54-B334-EE0C6930DAB7}"/>
    <cellStyle name="20% - Accent1 4 8" xfId="60" xr:uid="{1155B4D0-1A1B-43A7-9E4F-6B6AC10E0F2C}"/>
    <cellStyle name="20% - Accent1 5" xfId="61" xr:uid="{438F0070-AA1D-46B5-AA1C-21FF999C96FA}"/>
    <cellStyle name="20% - Accent2 2" xfId="62" xr:uid="{91F2708B-B9DE-4D72-BDA6-0826BAE648A9}"/>
    <cellStyle name="20% - Accent2 2 2" xfId="63" xr:uid="{57906D59-3F99-4012-99F5-8A1813F7CF7A}"/>
    <cellStyle name="20% - Accent2 2 3" xfId="64" xr:uid="{3D0DF4E5-A328-41F6-A060-CE5DFC630AEC}"/>
    <cellStyle name="20% - Accent2 2 3 2" xfId="65" xr:uid="{B6352ADB-30FD-4C67-867D-F2F1BAE0554D}"/>
    <cellStyle name="20% - Accent2 2 3 2 2" xfId="66" xr:uid="{F372CF74-F922-4FCA-9779-AFF89C0E6DC9}"/>
    <cellStyle name="20% - Accent2 2 3 2 3" xfId="67" xr:uid="{B25A8773-0FE6-49C3-99D8-6BFA7E06E106}"/>
    <cellStyle name="20% - Accent2 2 3 3" xfId="68" xr:uid="{B2FA77B7-9D09-40FC-A290-F813F746F541}"/>
    <cellStyle name="20% - Accent2 2 3 4" xfId="69" xr:uid="{53138A4F-3573-4CB8-8228-5E06E882AF0E}"/>
    <cellStyle name="20% - Accent2 2 4" xfId="70" xr:uid="{E43CD288-D84E-453B-8C5C-326EFDB0E5F3}"/>
    <cellStyle name="20% - Accent2 2 4 2" xfId="71" xr:uid="{99A44A4B-3432-4499-8E8A-884D0382E891}"/>
    <cellStyle name="20% - Accent2 2 4 3" xfId="72" xr:uid="{F0D2D0F3-DD27-486A-AEF5-554193302496}"/>
    <cellStyle name="20% - Accent2 2 5" xfId="73" xr:uid="{A55775F7-3C7A-44C1-BE20-6D437ED40F9D}"/>
    <cellStyle name="20% - Accent2 2 5 2" xfId="74" xr:uid="{9F04393C-D319-4CC3-9914-A96ACF667F4F}"/>
    <cellStyle name="20% - Accent2 2 5 3" xfId="75" xr:uid="{1D3DB4CB-6FD6-4F50-972E-ECF1323B0BB7}"/>
    <cellStyle name="20% - Accent2 2 6" xfId="76" xr:uid="{760A9281-F853-4828-9AA3-4E81F06F782D}"/>
    <cellStyle name="20% - Accent2 2 7" xfId="77" xr:uid="{DDDB23F4-50BC-4F51-8E77-8408AD2AF4F5}"/>
    <cellStyle name="20% - Accent2 2 7 2" xfId="78" xr:uid="{10A0DE12-BEFF-416D-A17F-F0FB2C07A27D}"/>
    <cellStyle name="20% - Accent2 2 7 3" xfId="79" xr:uid="{9A49BC7E-BEB8-4558-A57C-6E8F0E4F5D7A}"/>
    <cellStyle name="20% - Accent2 2 8" xfId="80" xr:uid="{90AE79E1-7C29-4498-92AB-74A76FD03470}"/>
    <cellStyle name="20% - Accent2 2 9" xfId="81" xr:uid="{3EBA0D45-79F3-4DA9-912F-AEE701197206}"/>
    <cellStyle name="20% - Accent2 3" xfId="82" xr:uid="{630FA9DC-55B3-46C1-A9D9-A81ACD0DA0E6}"/>
    <cellStyle name="20% - Accent2 3 2" xfId="83" xr:uid="{6292C391-533D-4128-AEB1-5782840CAF90}"/>
    <cellStyle name="20% - Accent2 3 2 2" xfId="84" xr:uid="{05C82DC6-61BA-4706-830B-D216D01E50AE}"/>
    <cellStyle name="20% - Accent2 3 2 2 2" xfId="85" xr:uid="{5AD698AD-6464-4953-B6E7-10F031D37D8F}"/>
    <cellStyle name="20% - Accent2 3 2 2 3" xfId="86" xr:uid="{B91FF8D2-7189-4497-A1A2-D4FBB1FA7E89}"/>
    <cellStyle name="20% - Accent2 3 2 3" xfId="87" xr:uid="{87D797E6-F1C8-4F37-B9A3-A6D9F6C6BD89}"/>
    <cellStyle name="20% - Accent2 3 2 4" xfId="88" xr:uid="{20D3FDB7-0EA0-4E0B-9F52-C1E8BC3AB842}"/>
    <cellStyle name="20% - Accent2 3 3" xfId="89" xr:uid="{F0A9CFE9-8012-476D-81E7-66EBE92C6F05}"/>
    <cellStyle name="20% - Accent2 3 3 2" xfId="90" xr:uid="{380FC04A-8CA0-4F39-BEEB-2398B72FE6DE}"/>
    <cellStyle name="20% - Accent2 3 3 3" xfId="91" xr:uid="{B8541A77-B6E3-4C15-8345-1F1801448A4D}"/>
    <cellStyle name="20% - Accent2 3 4" xfId="92" xr:uid="{D4465D65-D397-4D28-9909-E7FF51BF1311}"/>
    <cellStyle name="20% - Accent2 3 4 2" xfId="93" xr:uid="{14DBF8C1-44F9-4C77-BFDB-1A56F86F985C}"/>
    <cellStyle name="20% - Accent2 3 4 3" xfId="94" xr:uid="{8BB11E6D-0C57-42EE-8753-718AC4373FC7}"/>
    <cellStyle name="20% - Accent2 3 5" xfId="95" xr:uid="{6E9AE0CF-2B56-4263-AAF0-588A66A124FF}"/>
    <cellStyle name="20% - Accent2 3 6" xfId="96" xr:uid="{5028C6D9-A671-493C-8199-A72D2881D3EA}"/>
    <cellStyle name="20% - Accent2 3 6 2" xfId="97" xr:uid="{E7F71979-BC9B-43F5-934A-6167C870CC5F}"/>
    <cellStyle name="20% - Accent2 3 6 3" xfId="98" xr:uid="{4C3EBB8F-76BE-432D-B793-6518F5E9CF9A}"/>
    <cellStyle name="20% - Accent2 3 7" xfId="99" xr:uid="{6D5A6DD2-88D9-47E6-B3CA-58E0BDA11D51}"/>
    <cellStyle name="20% - Accent2 3 8" xfId="100" xr:uid="{038B2986-D3C5-477A-878D-E914D1587707}"/>
    <cellStyle name="20% - Accent2 4" xfId="101" xr:uid="{59FE54AC-DF2D-462C-9E47-A63D37DA2DDB}"/>
    <cellStyle name="20% - Accent2 4 2" xfId="102" xr:uid="{71FCCB11-06A4-4271-B7BB-BC151EBA4B77}"/>
    <cellStyle name="20% - Accent2 4 2 2" xfId="103" xr:uid="{6989DE32-B704-4DBB-8A15-5821FEAA938D}"/>
    <cellStyle name="20% - Accent2 4 2 2 2" xfId="104" xr:uid="{2FEF9529-5B35-4166-ABBE-FC8C2FBEDCF3}"/>
    <cellStyle name="20% - Accent2 4 2 2 3" xfId="105" xr:uid="{27CB94D6-3514-49B5-AB76-7763F0A2601A}"/>
    <cellStyle name="20% - Accent2 4 2 3" xfId="106" xr:uid="{F005722A-1809-40B4-BEF4-C4DF7413402E}"/>
    <cellStyle name="20% - Accent2 4 2 4" xfId="107" xr:uid="{BE0E24E7-22E5-4428-A645-41BBA8448FF0}"/>
    <cellStyle name="20% - Accent2 4 3" xfId="108" xr:uid="{FBBA107A-1542-4A61-AE39-EE12D10438DA}"/>
    <cellStyle name="20% - Accent2 4 3 2" xfId="109" xr:uid="{571522BB-3691-4C58-AFCA-AC953463AD87}"/>
    <cellStyle name="20% - Accent2 4 3 3" xfId="110" xr:uid="{E0F3247C-EEF9-4A9D-8DBB-DB51BA36426D}"/>
    <cellStyle name="20% - Accent2 4 4" xfId="111" xr:uid="{BBEE7A78-0C90-482B-BB5E-EFAD39943249}"/>
    <cellStyle name="20% - Accent2 4 4 2" xfId="112" xr:uid="{F34A6ACE-BFAD-494B-9AE8-9F19FE356754}"/>
    <cellStyle name="20% - Accent2 4 4 3" xfId="113" xr:uid="{B851B5E8-B90B-460E-A499-484B583EAD36}"/>
    <cellStyle name="20% - Accent2 4 5" xfId="114" xr:uid="{32FA912B-ADC8-446E-ADB7-864C54945A32}"/>
    <cellStyle name="20% - Accent2 4 6" xfId="115" xr:uid="{0C6EA206-44CF-433D-9087-219E78BAF1A2}"/>
    <cellStyle name="20% - Accent2 4 6 2" xfId="116" xr:uid="{29962D94-55E1-430C-A4C9-17CD469DE688}"/>
    <cellStyle name="20% - Accent2 4 6 3" xfId="117" xr:uid="{C1DCB625-39B4-45D6-B84E-AC20B353B927}"/>
    <cellStyle name="20% - Accent2 4 7" xfId="118" xr:uid="{856351F2-7CBC-419D-8989-56AA69AB9A83}"/>
    <cellStyle name="20% - Accent2 4 8" xfId="119" xr:uid="{44132290-8705-4EBF-B767-1C1814894CB9}"/>
    <cellStyle name="20% - Accent2 5" xfId="120" xr:uid="{F1372B02-2D71-44B1-8649-D6D6B614BD08}"/>
    <cellStyle name="20% - Accent3 2" xfId="121" xr:uid="{CE3E4F83-0784-4D04-8D88-269C910CD37E}"/>
    <cellStyle name="20% - Accent3 2 2" xfId="122" xr:uid="{4498A24D-B013-454F-863C-545E9A4FB22C}"/>
    <cellStyle name="20% - Accent3 2 3" xfId="123" xr:uid="{900B5A42-F9A7-4969-A372-49B713A4BFDC}"/>
    <cellStyle name="20% - Accent3 2 3 2" xfId="124" xr:uid="{07FC43E1-6600-4A18-A226-A3C00DB3F534}"/>
    <cellStyle name="20% - Accent3 2 3 2 2" xfId="125" xr:uid="{65D65631-C824-4FFF-89C7-28EF8829DD73}"/>
    <cellStyle name="20% - Accent3 2 3 2 3" xfId="126" xr:uid="{3444BD9F-EBF0-419B-8CB4-20603FD4D27D}"/>
    <cellStyle name="20% - Accent3 2 3 3" xfId="127" xr:uid="{36B20B72-C2AB-45AF-9DC9-B2903B4092DB}"/>
    <cellStyle name="20% - Accent3 2 3 4" xfId="128" xr:uid="{BE673D75-6DE9-4CD4-86F6-8FC9A6C98D7D}"/>
    <cellStyle name="20% - Accent3 2 4" xfId="129" xr:uid="{48C90FE3-2D3F-47B0-AAEA-035ACAAB53A3}"/>
    <cellStyle name="20% - Accent3 2 4 2" xfId="130" xr:uid="{82016CE3-7CCC-4471-8448-C1E1A32CBF5C}"/>
    <cellStyle name="20% - Accent3 2 4 3" xfId="131" xr:uid="{624BB7BF-66E4-4E65-9106-6F0773AB8403}"/>
    <cellStyle name="20% - Accent3 2 5" xfId="132" xr:uid="{EE0A1EB7-9369-4197-8AD0-DC8EBD13F2B8}"/>
    <cellStyle name="20% - Accent3 2 5 2" xfId="133" xr:uid="{AEE5259C-554B-4D28-8E0D-B08ABA522AFD}"/>
    <cellStyle name="20% - Accent3 2 5 3" xfId="134" xr:uid="{E5A26C6A-0CEF-4F6B-A995-0609F6C83811}"/>
    <cellStyle name="20% - Accent3 2 6" xfId="135" xr:uid="{B907D36D-829F-4787-A8F1-063848924699}"/>
    <cellStyle name="20% - Accent3 2 7" xfId="136" xr:uid="{48DDEA19-3839-4506-A2A2-0357BC7D1509}"/>
    <cellStyle name="20% - Accent3 2 7 2" xfId="137" xr:uid="{FC5B9FB2-ACF0-4CC2-9ED9-F9FB8EE90837}"/>
    <cellStyle name="20% - Accent3 2 7 3" xfId="138" xr:uid="{46DCB02A-07F9-4F0F-8225-1F33FA3FE953}"/>
    <cellStyle name="20% - Accent3 2 8" xfId="139" xr:uid="{53EE4232-440F-4CF4-8B74-86C0857BCB99}"/>
    <cellStyle name="20% - Accent3 2 9" xfId="140" xr:uid="{50ABB913-7C42-4C13-8739-C629D1106AB0}"/>
    <cellStyle name="20% - Accent3 3" xfId="141" xr:uid="{384EBCB3-C1A0-446C-8294-681742ADED3A}"/>
    <cellStyle name="20% - Accent3 3 2" xfId="142" xr:uid="{4C6ACE7F-E6AC-4975-A72C-B2D7AC192CCF}"/>
    <cellStyle name="20% - Accent3 3 2 2" xfId="143" xr:uid="{FC10D40A-5D59-46DE-9893-9017E4A1EA4B}"/>
    <cellStyle name="20% - Accent3 3 2 2 2" xfId="144" xr:uid="{61D4363F-48BC-4C5A-B206-8DEC4400CF17}"/>
    <cellStyle name="20% - Accent3 3 2 2 3" xfId="145" xr:uid="{F5681BD4-1F57-4740-966D-6F49CDBF8D84}"/>
    <cellStyle name="20% - Accent3 3 2 3" xfId="146" xr:uid="{EB2C4F53-384D-47D7-AEBF-A99D4966BC73}"/>
    <cellStyle name="20% - Accent3 3 2 4" xfId="147" xr:uid="{02E4DDE5-3FE0-4D3E-839E-A47404876294}"/>
    <cellStyle name="20% - Accent3 3 3" xfId="148" xr:uid="{EFEF44A6-A5C7-48B7-B0CE-32A67C76FAD6}"/>
    <cellStyle name="20% - Accent3 3 3 2" xfId="149" xr:uid="{2EC54DA7-4544-40FB-985B-9803E5560E35}"/>
    <cellStyle name="20% - Accent3 3 3 3" xfId="150" xr:uid="{1A613388-FB91-498A-965F-46449AE3F4D7}"/>
    <cellStyle name="20% - Accent3 3 4" xfId="151" xr:uid="{49E48F85-AE66-4468-B6A4-A447F909E619}"/>
    <cellStyle name="20% - Accent3 3 4 2" xfId="152" xr:uid="{C89C1821-73D9-4C85-8258-FFBEF291364B}"/>
    <cellStyle name="20% - Accent3 3 4 3" xfId="153" xr:uid="{57F67883-3E18-4D6B-8D76-BD502A21C98E}"/>
    <cellStyle name="20% - Accent3 3 5" xfId="154" xr:uid="{17C1949E-6428-4305-AC9D-BFBAE2254E9E}"/>
    <cellStyle name="20% - Accent3 3 6" xfId="155" xr:uid="{77DB7299-A994-47A1-A439-F42623DCDE2C}"/>
    <cellStyle name="20% - Accent3 3 6 2" xfId="156" xr:uid="{2BF1F7EF-D910-4AE6-BB22-1BD580CF3598}"/>
    <cellStyle name="20% - Accent3 3 6 3" xfId="157" xr:uid="{DD7869BC-4405-491B-A4F5-7BD4FA8D3963}"/>
    <cellStyle name="20% - Accent3 3 7" xfId="158" xr:uid="{D417C780-795C-432F-AAFB-7AEC3B3866CB}"/>
    <cellStyle name="20% - Accent3 3 8" xfId="159" xr:uid="{34A1603B-9490-417F-804B-DD59C1752E20}"/>
    <cellStyle name="20% - Accent3 4" xfId="160" xr:uid="{E64F8313-5A9B-457B-99EB-E7511F30AA5B}"/>
    <cellStyle name="20% - Accent3 4 2" xfId="161" xr:uid="{021DBFCB-FB8E-469B-841C-7DD2D5554F2D}"/>
    <cellStyle name="20% - Accent3 4 2 2" xfId="162" xr:uid="{C95947A1-9277-4946-B1D1-260B39CB027E}"/>
    <cellStyle name="20% - Accent3 4 2 2 2" xfId="163" xr:uid="{8C7F8706-F3A9-4160-94EF-0EF88B092F86}"/>
    <cellStyle name="20% - Accent3 4 2 2 3" xfId="164" xr:uid="{15AD5F6D-76AD-4780-96F4-1A967B07487F}"/>
    <cellStyle name="20% - Accent3 4 2 3" xfId="165" xr:uid="{1F964C51-5734-4697-A7A4-7DA295712582}"/>
    <cellStyle name="20% - Accent3 4 2 4" xfId="166" xr:uid="{39840C00-BB73-475D-8D58-A97354B0D651}"/>
    <cellStyle name="20% - Accent3 4 3" xfId="167" xr:uid="{C2077C34-78AB-4075-8870-B300AF729169}"/>
    <cellStyle name="20% - Accent3 4 3 2" xfId="168" xr:uid="{2B8EBEBD-E2B6-4B4F-9806-499199FD91C8}"/>
    <cellStyle name="20% - Accent3 4 3 3" xfId="169" xr:uid="{F04E793E-9D1F-485F-9371-E4457323F42B}"/>
    <cellStyle name="20% - Accent3 4 4" xfId="170" xr:uid="{9C824A2D-2A0C-4B60-8F2B-D3DC78DA7190}"/>
    <cellStyle name="20% - Accent3 4 4 2" xfId="171" xr:uid="{E2742537-4025-4EB5-9C51-E527DD257ADC}"/>
    <cellStyle name="20% - Accent3 4 4 3" xfId="172" xr:uid="{A172CF3D-1BFB-4FE7-960A-D4A4F6188D86}"/>
    <cellStyle name="20% - Accent3 4 5" xfId="173" xr:uid="{D111234E-0AFC-4BFF-9574-8EB7088E979F}"/>
    <cellStyle name="20% - Accent3 4 6" xfId="174" xr:uid="{5FA2EA0F-6727-4455-B219-E5406AB4EE13}"/>
    <cellStyle name="20% - Accent3 4 6 2" xfId="175" xr:uid="{6C65BF37-8D83-43C3-8106-8B0124EEABF7}"/>
    <cellStyle name="20% - Accent3 4 6 3" xfId="176" xr:uid="{B04B69EB-8CC8-4D78-ACE3-187917CD78BC}"/>
    <cellStyle name="20% - Accent3 4 7" xfId="177" xr:uid="{2536F32C-DCCF-41CD-B8FF-CE86DA1659C8}"/>
    <cellStyle name="20% - Accent3 4 8" xfId="178" xr:uid="{7F9DF2A9-7175-4CC3-B906-009EECECF194}"/>
    <cellStyle name="20% - Accent3 5" xfId="179" xr:uid="{EBADFDDA-FEBF-47C0-A9FD-D2C2D6F7FF33}"/>
    <cellStyle name="20% - Accent4 2" xfId="180" xr:uid="{D63A1ACB-9C11-4BDC-BC42-43D691DF3EDA}"/>
    <cellStyle name="20% - Accent4 2 2" xfId="181" xr:uid="{4284018C-1BAB-4DFF-A14B-A49338C9E7E8}"/>
    <cellStyle name="20% - Accent4 2 3" xfId="182" xr:uid="{9858CB1E-8D60-43AC-9116-A9550D9FFFEE}"/>
    <cellStyle name="20% - Accent4 2 3 2" xfId="183" xr:uid="{AC781297-00F2-43E8-9984-EEF7A592C13B}"/>
    <cellStyle name="20% - Accent4 2 3 2 2" xfId="184" xr:uid="{5CC4553F-FABF-48B6-B519-9482770CFFE4}"/>
    <cellStyle name="20% - Accent4 2 3 2 3" xfId="185" xr:uid="{6E9D58B0-8B7A-4A3A-8802-43DA71F6268C}"/>
    <cellStyle name="20% - Accent4 2 3 3" xfId="186" xr:uid="{A6835277-D679-44C7-9A45-39D791EE775F}"/>
    <cellStyle name="20% - Accent4 2 3 4" xfId="187" xr:uid="{F4A40DF7-77A2-48ED-BE1A-C3DEFB20B4EB}"/>
    <cellStyle name="20% - Accent4 2 4" xfId="188" xr:uid="{6420DB2C-22A7-4CFC-9A50-56709F78948C}"/>
    <cellStyle name="20% - Accent4 2 4 2" xfId="189" xr:uid="{A7CA71D1-4177-4848-8CD9-450C8C2509F2}"/>
    <cellStyle name="20% - Accent4 2 4 3" xfId="190" xr:uid="{4B6FA2F8-5934-478B-AA16-F00E6874D357}"/>
    <cellStyle name="20% - Accent4 2 5" xfId="191" xr:uid="{FBC2DA7E-2757-4206-A02C-D4503BEE1BD3}"/>
    <cellStyle name="20% - Accent4 2 5 2" xfId="192" xr:uid="{171E1437-E4FF-433E-BD50-463140F3FC71}"/>
    <cellStyle name="20% - Accent4 2 5 3" xfId="193" xr:uid="{CE0F8D18-278B-4096-80F8-600B8271CDF3}"/>
    <cellStyle name="20% - Accent4 2 6" xfId="194" xr:uid="{21F2AC13-8129-429E-8F4B-DBF3D337B923}"/>
    <cellStyle name="20% - Accent4 2 7" xfId="195" xr:uid="{A1D7CA0C-EE56-49E4-8229-949F0B1C25D4}"/>
    <cellStyle name="20% - Accent4 2 7 2" xfId="196" xr:uid="{865D882A-6E32-402E-BE90-DF191E7F77DC}"/>
    <cellStyle name="20% - Accent4 2 7 3" xfId="197" xr:uid="{D144C6E6-2D1F-41EE-AC47-5051A5F135B7}"/>
    <cellStyle name="20% - Accent4 2 8" xfId="198" xr:uid="{CF281831-3DDC-46E1-A974-CACF48753731}"/>
    <cellStyle name="20% - Accent4 2 9" xfId="199" xr:uid="{08C27233-2D17-4CE1-8A32-2D0D5B98D389}"/>
    <cellStyle name="20% - Accent4 3" xfId="200" xr:uid="{04399C02-464B-4AAE-B559-4FF08C4191C5}"/>
    <cellStyle name="20% - Accent4 3 2" xfId="201" xr:uid="{F1950D07-05D9-40C3-93AB-99D5209C7658}"/>
    <cellStyle name="20% - Accent4 3 2 2" xfId="202" xr:uid="{B1DFA940-6D53-4842-B5CC-F152E042415A}"/>
    <cellStyle name="20% - Accent4 3 2 2 2" xfId="203" xr:uid="{C7C88689-0D91-4CB9-916F-830A705F7B48}"/>
    <cellStyle name="20% - Accent4 3 2 2 3" xfId="204" xr:uid="{07071BAF-6237-4BCC-A76C-C66E8A8E837D}"/>
    <cellStyle name="20% - Accent4 3 2 3" xfId="205" xr:uid="{8BF05A9B-8DF5-4387-80D6-8EC123469D16}"/>
    <cellStyle name="20% - Accent4 3 2 4" xfId="206" xr:uid="{E34837B6-9FBA-4481-AABE-E9A4DE89FCEC}"/>
    <cellStyle name="20% - Accent4 3 3" xfId="207" xr:uid="{BB231347-689C-4060-9684-9D562F53C894}"/>
    <cellStyle name="20% - Accent4 3 3 2" xfId="208" xr:uid="{E83004A9-0239-44CC-BEA6-3A772402FD13}"/>
    <cellStyle name="20% - Accent4 3 3 3" xfId="209" xr:uid="{A49B8116-508B-46A7-A8E4-2D532BB22CFA}"/>
    <cellStyle name="20% - Accent4 3 4" xfId="210" xr:uid="{24E72C9F-D6B7-458D-A7A3-3D781AE66E86}"/>
    <cellStyle name="20% - Accent4 3 4 2" xfId="211" xr:uid="{A0D97666-529D-4EE2-828F-17DA3187DF92}"/>
    <cellStyle name="20% - Accent4 3 4 3" xfId="212" xr:uid="{FB7F138D-E507-4784-8308-6C8DD54D83D8}"/>
    <cellStyle name="20% - Accent4 3 5" xfId="213" xr:uid="{2F8A93E7-A69D-49DE-A1D5-E304F5AA2605}"/>
    <cellStyle name="20% - Accent4 3 6" xfId="214" xr:uid="{CAF43016-D570-4C63-B504-43316C678832}"/>
    <cellStyle name="20% - Accent4 3 6 2" xfId="215" xr:uid="{F950226B-2149-4F4E-AEAF-E6AD44F6CED4}"/>
    <cellStyle name="20% - Accent4 3 6 3" xfId="216" xr:uid="{FE3205B9-D682-45D2-BF8C-7786B69A91E7}"/>
    <cellStyle name="20% - Accent4 3 7" xfId="217" xr:uid="{5FEED354-3B4A-4AD8-979F-919776716D3B}"/>
    <cellStyle name="20% - Accent4 3 8" xfId="218" xr:uid="{CD0BEA22-5765-495A-A6D5-E5394E63F4F5}"/>
    <cellStyle name="20% - Accent4 4" xfId="219" xr:uid="{C7A9C2AF-FA6A-47A1-903C-0BD0EE34C1AC}"/>
    <cellStyle name="20% - Accent4 4 2" xfId="220" xr:uid="{E2232F1D-B593-4AB0-83A4-DBDEFE7D005F}"/>
    <cellStyle name="20% - Accent4 4 2 2" xfId="221" xr:uid="{2F6E8666-B215-4684-B08A-1DCC6BA1EB0C}"/>
    <cellStyle name="20% - Accent4 4 2 2 2" xfId="222" xr:uid="{CABD4739-D384-4977-A422-250057F2DBEC}"/>
    <cellStyle name="20% - Accent4 4 2 2 3" xfId="223" xr:uid="{0EE9663B-CC4E-4146-959C-D8BF7ADB3DAB}"/>
    <cellStyle name="20% - Accent4 4 2 3" xfId="224" xr:uid="{05B0F68D-3742-4DC8-B940-C497A2B937E1}"/>
    <cellStyle name="20% - Accent4 4 2 4" xfId="225" xr:uid="{9F8EF16D-5539-4573-B4D6-0F49A10AC3EF}"/>
    <cellStyle name="20% - Accent4 4 3" xfId="226" xr:uid="{366DCF92-D47A-4205-AD04-A0DE29CBDFD7}"/>
    <cellStyle name="20% - Accent4 4 3 2" xfId="227" xr:uid="{27D908A5-CEF9-4FFD-8EC6-18F5B0048C5C}"/>
    <cellStyle name="20% - Accent4 4 3 3" xfId="228" xr:uid="{4A41E882-1E3A-4BEC-AFC4-4DC38E5BC4A8}"/>
    <cellStyle name="20% - Accent4 4 4" xfId="229" xr:uid="{94C681CE-F2B1-4FB7-849C-57C769FB5EA5}"/>
    <cellStyle name="20% - Accent4 4 4 2" xfId="230" xr:uid="{6E28C4F9-AB76-42EE-92AE-FA36E72365F5}"/>
    <cellStyle name="20% - Accent4 4 4 3" xfId="231" xr:uid="{3F9BA463-718A-4785-AC11-FF5EA658500F}"/>
    <cellStyle name="20% - Accent4 4 5" xfId="232" xr:uid="{54DDB29B-ED11-4DC2-9BC2-2E927D21CB6B}"/>
    <cellStyle name="20% - Accent4 4 6" xfId="233" xr:uid="{4FD6F8B3-FDA8-45CD-9F61-659EBB863D3D}"/>
    <cellStyle name="20% - Accent4 4 6 2" xfId="234" xr:uid="{81D4B42D-93B4-481C-BB05-307BB8CDE295}"/>
    <cellStyle name="20% - Accent4 4 6 3" xfId="235" xr:uid="{2826ABE8-2A2C-4827-B655-6525328C1CF9}"/>
    <cellStyle name="20% - Accent4 4 7" xfId="236" xr:uid="{E422C45A-24F1-451F-AB45-58BEC1D185D7}"/>
    <cellStyle name="20% - Accent4 4 8" xfId="237" xr:uid="{AB1111E3-CDCA-4F77-812F-403701031DCB}"/>
    <cellStyle name="20% - Accent4 5" xfId="238" xr:uid="{003666A2-40CA-4DE0-8411-0DDA6F27789D}"/>
    <cellStyle name="20% - Accent5 2" xfId="239" xr:uid="{0EDE06A1-9A4A-4340-A435-F0A86281AAAA}"/>
    <cellStyle name="20% - Accent5 2 2" xfId="240" xr:uid="{B8CABBF4-9341-4C14-985E-71E7FED72ABE}"/>
    <cellStyle name="20% - Accent5 2 3" xfId="241" xr:uid="{8DECBAFB-9E1A-4400-94E2-BF678FC4D078}"/>
    <cellStyle name="20% - Accent5 2 3 2" xfId="242" xr:uid="{63E0FD8F-D682-4678-A304-942016873601}"/>
    <cellStyle name="20% - Accent5 2 3 2 2" xfId="243" xr:uid="{37A3BF6C-631D-42A6-BC2E-D4947544EECE}"/>
    <cellStyle name="20% - Accent5 2 3 2 3" xfId="244" xr:uid="{296697DD-FAF9-4F6B-A6F2-82A24EA0864F}"/>
    <cellStyle name="20% - Accent5 2 3 3" xfId="245" xr:uid="{0B8DDABD-7627-44A5-A0A9-4CA56222D4A7}"/>
    <cellStyle name="20% - Accent5 2 3 4" xfId="246" xr:uid="{3EEE1113-A4FE-45FE-9C04-46EC336969EC}"/>
    <cellStyle name="20% - Accent5 2 4" xfId="247" xr:uid="{7E71B4A1-95CF-44CF-B3C1-F9CC13F14A48}"/>
    <cellStyle name="20% - Accent5 2 4 2" xfId="248" xr:uid="{33BF05E9-4EEB-41DE-B668-1C00D9BD14BC}"/>
    <cellStyle name="20% - Accent5 2 4 3" xfId="249" xr:uid="{6AAEA984-F517-4AEA-AE5E-37AD0AF3D02F}"/>
    <cellStyle name="20% - Accent5 2 5" xfId="250" xr:uid="{088D516A-32AF-45AE-9174-C9C2B81DCE91}"/>
    <cellStyle name="20% - Accent5 2 5 2" xfId="251" xr:uid="{53B9DE6E-328F-4D31-9B8F-4562392690E0}"/>
    <cellStyle name="20% - Accent5 2 5 3" xfId="252" xr:uid="{62C17E9F-3D5E-4864-9FE7-C8147DFE57E2}"/>
    <cellStyle name="20% - Accent5 2 6" xfId="253" xr:uid="{1F870A8B-F1DB-49D4-B732-F588132BD6F8}"/>
    <cellStyle name="20% - Accent5 2 7" xfId="254" xr:uid="{FE688DB3-18E6-49D0-9C5E-3D129D1DE4C4}"/>
    <cellStyle name="20% - Accent5 2 7 2" xfId="255" xr:uid="{EB3F380A-F1D9-499E-A096-0D94DCB79846}"/>
    <cellStyle name="20% - Accent5 2 7 3" xfId="256" xr:uid="{46D886C6-D405-462E-A01D-BBC3CEFA238A}"/>
    <cellStyle name="20% - Accent5 2 8" xfId="257" xr:uid="{C9C276A4-8E53-4CD1-8343-2787D5C65D55}"/>
    <cellStyle name="20% - Accent5 2 9" xfId="258" xr:uid="{47807A43-4971-4A73-9772-0C8534718F34}"/>
    <cellStyle name="20% - Accent5 3" xfId="259" xr:uid="{B7BF0DCB-7150-42C2-8068-BD411F61DFF2}"/>
    <cellStyle name="20% - Accent5 3 2" xfId="260" xr:uid="{C7C886BF-65B5-4B56-A89E-0F8889B7EFF5}"/>
    <cellStyle name="20% - Accent5 3 2 2" xfId="261" xr:uid="{B0B1A875-60A4-471D-9B2E-2D42E687D4CA}"/>
    <cellStyle name="20% - Accent5 3 2 2 2" xfId="262" xr:uid="{88DAFB02-AD7F-4E16-9AB3-53A5CE2013F4}"/>
    <cellStyle name="20% - Accent5 3 2 2 3" xfId="263" xr:uid="{AB938EF5-CA57-49F4-8EE9-27B9FF61A9CD}"/>
    <cellStyle name="20% - Accent5 3 2 3" xfId="264" xr:uid="{C047A174-BD12-4369-BA7D-35BAE1FEADE1}"/>
    <cellStyle name="20% - Accent5 3 2 4" xfId="265" xr:uid="{89878819-0200-4118-BC47-3B049A886447}"/>
    <cellStyle name="20% - Accent5 3 3" xfId="266" xr:uid="{1B4BC93D-07A9-4A87-9E78-86FE0E586CD5}"/>
    <cellStyle name="20% - Accent5 3 3 2" xfId="267" xr:uid="{59FC0F22-B3ED-4EAC-8354-6F0F48163A5F}"/>
    <cellStyle name="20% - Accent5 3 3 3" xfId="268" xr:uid="{98A5F532-0FD1-48B8-AAE5-0128C2E1D377}"/>
    <cellStyle name="20% - Accent5 3 4" xfId="269" xr:uid="{1F6B7913-6F27-417E-A94B-9E21AF9DFC09}"/>
    <cellStyle name="20% - Accent5 3 4 2" xfId="270" xr:uid="{56B38877-0F3D-488E-8DE2-5ACAD825A0B4}"/>
    <cellStyle name="20% - Accent5 3 4 3" xfId="271" xr:uid="{4A5A9291-47D6-4437-A75F-36596212E3F4}"/>
    <cellStyle name="20% - Accent5 3 5" xfId="272" xr:uid="{87DC6594-4259-4182-8EAE-32C1E9CEB606}"/>
    <cellStyle name="20% - Accent5 3 6" xfId="273" xr:uid="{107D3468-ED95-441F-9C56-88C0A81BDD19}"/>
    <cellStyle name="20% - Accent5 3 6 2" xfId="274" xr:uid="{9CDC2CB9-6699-411E-8393-7E7C9A0C2B36}"/>
    <cellStyle name="20% - Accent5 3 6 3" xfId="275" xr:uid="{DE098C8A-1BFF-43D9-BAD3-239802C8FF6B}"/>
    <cellStyle name="20% - Accent5 3 7" xfId="276" xr:uid="{21791686-B03C-4F61-8937-CA903C87FF67}"/>
    <cellStyle name="20% - Accent5 3 8" xfId="277" xr:uid="{96DC0729-EC34-4092-A995-0B2861EC6DA9}"/>
    <cellStyle name="20% - Accent5 4" xfId="278" xr:uid="{72CECA3B-07DB-4D46-A10D-A9C06A017A9F}"/>
    <cellStyle name="20% - Accent5 4 2" xfId="279" xr:uid="{F30A777B-AAE7-4717-8BE8-60F290424D85}"/>
    <cellStyle name="20% - Accent5 4 2 2" xfId="280" xr:uid="{D9DF657B-1668-44F5-89A7-FF6520CED1A6}"/>
    <cellStyle name="20% - Accent5 4 2 2 2" xfId="281" xr:uid="{5082BA5E-01AC-4863-8C9E-384DC3CDA505}"/>
    <cellStyle name="20% - Accent5 4 2 2 3" xfId="282" xr:uid="{7DDFFDFA-E598-479C-BC45-6CD17EB25F76}"/>
    <cellStyle name="20% - Accent5 4 2 3" xfId="283" xr:uid="{828538B6-3B15-4E07-B7A0-7DA003690EAC}"/>
    <cellStyle name="20% - Accent5 4 2 4" xfId="284" xr:uid="{3C5CB1BE-0812-4231-9536-BA9CBA16C068}"/>
    <cellStyle name="20% - Accent5 4 3" xfId="285" xr:uid="{2E291EF1-EE29-449C-8EEB-FEC0F6310003}"/>
    <cellStyle name="20% - Accent5 4 3 2" xfId="286" xr:uid="{234AA78C-4B9A-4350-B0FC-67BF705D3817}"/>
    <cellStyle name="20% - Accent5 4 3 3" xfId="287" xr:uid="{99013D46-617A-4679-956D-2903A84B23AC}"/>
    <cellStyle name="20% - Accent5 4 4" xfId="288" xr:uid="{58D6B2EC-4D29-41DC-8D50-59105C8135B2}"/>
    <cellStyle name="20% - Accent5 4 4 2" xfId="289" xr:uid="{3265E82D-505B-4309-B477-C7C9001F88CA}"/>
    <cellStyle name="20% - Accent5 4 4 3" xfId="290" xr:uid="{DEFE0DF0-1598-4160-8A2B-E7D9CE7D0F3C}"/>
    <cellStyle name="20% - Accent5 4 5" xfId="291" xr:uid="{D3649CFD-7A05-4C68-A94C-C46EBD8EBD1F}"/>
    <cellStyle name="20% - Accent5 4 6" xfId="292" xr:uid="{0A2A41B9-2504-4601-B718-C02E1B695389}"/>
    <cellStyle name="20% - Accent5 4 6 2" xfId="293" xr:uid="{39600774-E8CC-4195-ACDA-1EFFC842D315}"/>
    <cellStyle name="20% - Accent5 4 6 3" xfId="294" xr:uid="{3583B940-5F37-4CDB-A227-1B460867FBFE}"/>
    <cellStyle name="20% - Accent5 4 7" xfId="295" xr:uid="{8EB00BD4-93D4-48C0-8D34-FAD15A2E751D}"/>
    <cellStyle name="20% - Accent5 4 8" xfId="296" xr:uid="{2B997085-05DE-43AE-AD50-F70F21B2924E}"/>
    <cellStyle name="20% - Accent5 5" xfId="297" xr:uid="{8C076940-BCBC-4CCC-BC81-6B5578BCEF5B}"/>
    <cellStyle name="20% - Accent6 2" xfId="298" xr:uid="{804D22CA-2F7D-4C95-A922-621A7952F947}"/>
    <cellStyle name="20% - Accent6 2 2" xfId="299" xr:uid="{73BF511E-70A1-4EE3-8E33-C5BD9A413408}"/>
    <cellStyle name="20% - Accent6 2 3" xfId="300" xr:uid="{14B3C4A1-B6CC-419F-A3DA-88A2BD2C13AA}"/>
    <cellStyle name="20% - Accent6 2 3 2" xfId="301" xr:uid="{8CD6C0A2-BE99-4FEE-8F8F-5BBA73A132AC}"/>
    <cellStyle name="20% - Accent6 2 3 2 2" xfId="302" xr:uid="{4011B6A5-0132-4457-B769-68C8EC61A00F}"/>
    <cellStyle name="20% - Accent6 2 3 2 3" xfId="303" xr:uid="{2DF91A11-95B0-4BD0-B998-91A3AC706501}"/>
    <cellStyle name="20% - Accent6 2 3 3" xfId="304" xr:uid="{7BF4EFF8-19D9-42A9-B858-6FBFC3B9074F}"/>
    <cellStyle name="20% - Accent6 2 3 4" xfId="305" xr:uid="{9F5BBCD5-0FB3-4249-A2F6-AC0895A2412F}"/>
    <cellStyle name="20% - Accent6 2 4" xfId="306" xr:uid="{A5C917E2-E3C9-4EB1-B903-8A8A17B44330}"/>
    <cellStyle name="20% - Accent6 2 4 2" xfId="307" xr:uid="{908627B9-6830-43C7-9CB4-68301C8BA34F}"/>
    <cellStyle name="20% - Accent6 2 4 3" xfId="308" xr:uid="{BD82F951-5360-46DE-8D7D-3EAFFB1FA48C}"/>
    <cellStyle name="20% - Accent6 2 5" xfId="309" xr:uid="{B5F4D8C4-E990-4777-BAC9-B6E7596F2BA7}"/>
    <cellStyle name="20% - Accent6 2 5 2" xfId="310" xr:uid="{0765FD88-3258-4E80-960F-6D3572505596}"/>
    <cellStyle name="20% - Accent6 2 5 3" xfId="311" xr:uid="{23079EDD-594A-4BB5-9EA4-A4EE66784EE2}"/>
    <cellStyle name="20% - Accent6 2 6" xfId="312" xr:uid="{DEA5B4C5-1593-46A9-B672-1F8456E38A43}"/>
    <cellStyle name="20% - Accent6 2 7" xfId="313" xr:uid="{C31AE434-A364-4480-B4D9-70E34C72EBD4}"/>
    <cellStyle name="20% - Accent6 2 7 2" xfId="314" xr:uid="{853ECB57-7DA4-4988-9A6C-F2A09F0D79F9}"/>
    <cellStyle name="20% - Accent6 2 7 3" xfId="315" xr:uid="{B85FBB1F-55FD-4677-B7AA-B87E405D048F}"/>
    <cellStyle name="20% - Accent6 2 8" xfId="316" xr:uid="{0CA2BBB1-8D08-42BC-86F7-EE061A7B0B0C}"/>
    <cellStyle name="20% - Accent6 2 9" xfId="317" xr:uid="{5A3DCC85-169C-4A32-96A3-FF4895F6FB9A}"/>
    <cellStyle name="20% - Accent6 3" xfId="318" xr:uid="{0E6D781D-F4CF-4654-9E4F-1E5FBA6EFB0A}"/>
    <cellStyle name="20% - Accent6 3 2" xfId="319" xr:uid="{266004C5-3D67-4111-B524-A99F5EB3D9C2}"/>
    <cellStyle name="20% - Accent6 3 2 2" xfId="320" xr:uid="{A1752DE7-78FC-4E7D-A720-8535B4A154A1}"/>
    <cellStyle name="20% - Accent6 3 2 2 2" xfId="321" xr:uid="{A8541A57-2D90-41A1-85F7-E9D89E403DCD}"/>
    <cellStyle name="20% - Accent6 3 2 2 3" xfId="322" xr:uid="{610B3235-B1E8-4663-BCDF-1DEBC3986E75}"/>
    <cellStyle name="20% - Accent6 3 2 3" xfId="323" xr:uid="{6BCD615E-11A1-4DC6-A895-EDEE5FB645EB}"/>
    <cellStyle name="20% - Accent6 3 2 4" xfId="324" xr:uid="{D93EBAA1-BFFB-4513-8D38-A13A44F4C795}"/>
    <cellStyle name="20% - Accent6 3 3" xfId="325" xr:uid="{CD6DAE1B-B9F9-4007-8719-94949282ECEC}"/>
    <cellStyle name="20% - Accent6 3 3 2" xfId="326" xr:uid="{C9E22DED-4251-422A-B18F-B48286866B07}"/>
    <cellStyle name="20% - Accent6 3 3 3" xfId="327" xr:uid="{161EEADF-296D-4279-9C0F-005CAE3B06AA}"/>
    <cellStyle name="20% - Accent6 3 4" xfId="328" xr:uid="{012ABEDC-15B2-4B5D-BA18-ADC61CDE90E8}"/>
    <cellStyle name="20% - Accent6 3 4 2" xfId="329" xr:uid="{4043C692-D635-40FC-ABC5-264C8AC78B69}"/>
    <cellStyle name="20% - Accent6 3 4 3" xfId="330" xr:uid="{E94F4663-B56D-488D-9F85-7F0EEB7BA090}"/>
    <cellStyle name="20% - Accent6 3 5" xfId="331" xr:uid="{9A1502EE-A8AD-42F2-9517-046A04B050DB}"/>
    <cellStyle name="20% - Accent6 3 6" xfId="332" xr:uid="{920977D3-100A-4614-A8C8-90BA2EEA5460}"/>
    <cellStyle name="20% - Accent6 3 6 2" xfId="333" xr:uid="{E1AE9C9D-D35C-42E0-80C2-5F781C862CD2}"/>
    <cellStyle name="20% - Accent6 3 6 3" xfId="334" xr:uid="{F386B0FF-2A14-44AF-BD60-B3798D9CDD3A}"/>
    <cellStyle name="20% - Accent6 3 7" xfId="335" xr:uid="{9995FAD2-9B42-4000-9F3B-2CB682A1F3AB}"/>
    <cellStyle name="20% - Accent6 3 8" xfId="336" xr:uid="{8C1E2741-674F-4A32-89FD-1788370A6106}"/>
    <cellStyle name="20% - Accent6 4" xfId="337" xr:uid="{E2DD97AA-F6F1-4BB3-9DD5-37CB78956796}"/>
    <cellStyle name="20% - Accent6 4 2" xfId="338" xr:uid="{2A652B50-8254-4536-9A80-29B062AE5C6F}"/>
    <cellStyle name="20% - Accent6 4 2 2" xfId="339" xr:uid="{6805BD76-442A-481D-835A-A6005EDCE295}"/>
    <cellStyle name="20% - Accent6 4 2 2 2" xfId="340" xr:uid="{1C641FDB-AD46-4F18-B4D7-A7E51B4307A3}"/>
    <cellStyle name="20% - Accent6 4 2 2 3" xfId="341" xr:uid="{0E4BC987-E12B-4B99-BED0-F4AB2A13E331}"/>
    <cellStyle name="20% - Accent6 4 2 3" xfId="342" xr:uid="{09CCEBEF-B22F-45A7-A6B4-49A43DC7D976}"/>
    <cellStyle name="20% - Accent6 4 2 4" xfId="343" xr:uid="{F016ED66-2294-4969-8B24-4D105F85DCA8}"/>
    <cellStyle name="20% - Accent6 4 3" xfId="344" xr:uid="{B26B4520-B49E-4B15-9A7D-FDEF096BBF88}"/>
    <cellStyle name="20% - Accent6 4 3 2" xfId="345" xr:uid="{DF3640C8-62A4-4D13-B854-56B7E965457C}"/>
    <cellStyle name="20% - Accent6 4 3 3" xfId="346" xr:uid="{20925C00-95C9-4319-AA5B-4F8B35E25980}"/>
    <cellStyle name="20% - Accent6 4 4" xfId="347" xr:uid="{0401B0B7-9B39-45BD-96F6-9DC30EC07AE7}"/>
    <cellStyle name="20% - Accent6 4 4 2" xfId="348" xr:uid="{7E039AAB-6FA4-4DEA-8CD1-18FC9B6C5AC6}"/>
    <cellStyle name="20% - Accent6 4 4 3" xfId="349" xr:uid="{54050FE5-D76B-44D1-8AFE-244D83CA95DC}"/>
    <cellStyle name="20% - Accent6 4 5" xfId="350" xr:uid="{516F2F3F-2BE7-48B1-A748-2AF4CA57ACD5}"/>
    <cellStyle name="20% - Accent6 4 6" xfId="351" xr:uid="{9BAB5B10-DE4D-406F-9B19-9184669845B2}"/>
    <cellStyle name="20% - Accent6 4 6 2" xfId="352" xr:uid="{9C79CC6D-71F7-4BF8-944A-4E12B315501D}"/>
    <cellStyle name="20% - Accent6 4 6 3" xfId="353" xr:uid="{D5DAFCFB-CAE9-4AF5-A17C-E33532BD9820}"/>
    <cellStyle name="20% - Accent6 4 7" xfId="354" xr:uid="{0B8E27B5-B9DF-43B5-BD39-519E8D1EC628}"/>
    <cellStyle name="20% - Accent6 4 8" xfId="355" xr:uid="{CA7841E9-5623-4487-BCE6-38944F59BDC5}"/>
    <cellStyle name="20% - Accent6 5" xfId="356" xr:uid="{19C1D4FE-13D8-41F9-BB8B-D9DA2C998927}"/>
    <cellStyle name="40% - Accent1 2" xfId="357" xr:uid="{9AC4D6C1-57FF-454F-A76A-7CCA83ADC3B3}"/>
    <cellStyle name="40% - Accent1 2 2" xfId="358" xr:uid="{658278AD-80E9-4A88-941B-455115E02775}"/>
    <cellStyle name="40% - Accent1 2 3" xfId="359" xr:uid="{57DBFB89-A0EA-40D1-A138-09B285BDB706}"/>
    <cellStyle name="40% - Accent1 2 3 2" xfId="360" xr:uid="{D2A2FE6D-26B2-46EE-8038-E7310A67827A}"/>
    <cellStyle name="40% - Accent1 2 3 2 2" xfId="361" xr:uid="{427C43CF-7695-4042-A5AB-AADA2E11B38F}"/>
    <cellStyle name="40% - Accent1 2 3 2 3" xfId="362" xr:uid="{2E9F7CBA-ACA4-4CA1-B762-CC15A85B0846}"/>
    <cellStyle name="40% - Accent1 2 3 3" xfId="363" xr:uid="{A09D20A0-9821-48D0-AFFA-0F598943E182}"/>
    <cellStyle name="40% - Accent1 2 3 4" xfId="364" xr:uid="{D6585FAE-84C3-4A56-9815-CCAFDF13180D}"/>
    <cellStyle name="40% - Accent1 2 4" xfId="365" xr:uid="{9365B308-84BE-4738-A883-71A43FAAEBBB}"/>
    <cellStyle name="40% - Accent1 2 4 2" xfId="366" xr:uid="{1D987D27-BEF3-491B-8913-E9DCAB52C430}"/>
    <cellStyle name="40% - Accent1 2 4 3" xfId="367" xr:uid="{742D5BCC-D328-4ECE-81E5-AC32362991D0}"/>
    <cellStyle name="40% - Accent1 2 5" xfId="368" xr:uid="{E554E66E-123D-4DA5-B408-AFEB9AFA89A3}"/>
    <cellStyle name="40% - Accent1 2 5 2" xfId="369" xr:uid="{ABC1B62B-67D2-40EF-8C9F-C722C06266E3}"/>
    <cellStyle name="40% - Accent1 2 5 3" xfId="370" xr:uid="{C8BD8DFF-560D-48E3-B3DA-A54FCCBD56E6}"/>
    <cellStyle name="40% - Accent1 2 6" xfId="371" xr:uid="{65F84E34-A390-4D05-AC7B-1016251DAA07}"/>
    <cellStyle name="40% - Accent1 2 7" xfId="372" xr:uid="{25870F59-9597-4D4F-89DF-B8A8FD95D3B9}"/>
    <cellStyle name="40% - Accent1 2 7 2" xfId="373" xr:uid="{E9ABAF73-DE80-4764-91B0-76A5CF27504B}"/>
    <cellStyle name="40% - Accent1 2 7 3" xfId="374" xr:uid="{62B763EE-3E8E-4E73-875C-8761809F4076}"/>
    <cellStyle name="40% - Accent1 2 8" xfId="375" xr:uid="{2FCA0D70-0EBE-46F5-98CD-DD02D58F3493}"/>
    <cellStyle name="40% - Accent1 2 9" xfId="376" xr:uid="{6626A01B-0A19-419C-9070-FF4D5579686E}"/>
    <cellStyle name="40% - Accent1 3" xfId="377" xr:uid="{F2689A57-436B-4E0C-BF21-FF494A0B21E2}"/>
    <cellStyle name="40% - Accent1 3 2" xfId="378" xr:uid="{F4CAAFE1-CC3C-487D-8506-6FBAF51CF68E}"/>
    <cellStyle name="40% - Accent1 3 2 2" xfId="379" xr:uid="{77B01B4A-DD43-42AE-BB27-DD8ABF39FA08}"/>
    <cellStyle name="40% - Accent1 3 2 2 2" xfId="380" xr:uid="{21E6BAD8-F542-4D5F-878C-649A33516AD3}"/>
    <cellStyle name="40% - Accent1 3 2 2 3" xfId="381" xr:uid="{86BD8006-11C0-4454-96F9-79F60311069F}"/>
    <cellStyle name="40% - Accent1 3 2 3" xfId="382" xr:uid="{325FCD2F-61F6-4558-9AC9-89F2C6BB70DA}"/>
    <cellStyle name="40% - Accent1 3 2 4" xfId="383" xr:uid="{C8DEC16F-0F8F-4BCE-B69F-AE67372F4B7D}"/>
    <cellStyle name="40% - Accent1 3 3" xfId="384" xr:uid="{CA09919D-3C82-4DCB-BC3E-CB0AC8599E3E}"/>
    <cellStyle name="40% - Accent1 3 3 2" xfId="385" xr:uid="{250841F0-E34C-4DD8-8F1C-2A8BF7BB5A9B}"/>
    <cellStyle name="40% - Accent1 3 3 3" xfId="386" xr:uid="{5D69F297-F9E0-4C09-8C85-BC5F90933B3F}"/>
    <cellStyle name="40% - Accent1 3 4" xfId="387" xr:uid="{7DB0FA2E-C834-46B7-97AF-8BAFBA8BD277}"/>
    <cellStyle name="40% - Accent1 3 4 2" xfId="388" xr:uid="{85902165-7C98-4653-905F-8CCF268BB6D6}"/>
    <cellStyle name="40% - Accent1 3 4 3" xfId="389" xr:uid="{D3D2E98D-88B3-4C44-BD64-2D7528B92774}"/>
    <cellStyle name="40% - Accent1 3 5" xfId="390" xr:uid="{094A72E6-D04C-41DD-9B2C-0689A4FC7A5F}"/>
    <cellStyle name="40% - Accent1 3 6" xfId="391" xr:uid="{08AA03AC-C30F-4F15-BC15-322786B3328E}"/>
    <cellStyle name="40% - Accent1 3 6 2" xfId="392" xr:uid="{F64A2930-0080-4934-8ED7-81DA847410F5}"/>
    <cellStyle name="40% - Accent1 3 6 3" xfId="393" xr:uid="{37615F10-74E7-43D9-BCF3-31C28B286CC8}"/>
    <cellStyle name="40% - Accent1 3 7" xfId="394" xr:uid="{69C6F7F4-5B31-4117-97F2-1ADE5DCACCA7}"/>
    <cellStyle name="40% - Accent1 3 8" xfId="395" xr:uid="{7F73B6C6-FBAF-4E8B-98FC-44451E17991B}"/>
    <cellStyle name="40% - Accent1 4" xfId="396" xr:uid="{79E95DF2-56B0-4BB2-BFAF-D6410E6729F9}"/>
    <cellStyle name="40% - Accent1 4 2" xfId="397" xr:uid="{A2CE27A1-491F-4576-AE2D-AD6B8ADB8474}"/>
    <cellStyle name="40% - Accent1 4 2 2" xfId="398" xr:uid="{59F2DBF5-0EE1-4880-8275-FE973820D8AA}"/>
    <cellStyle name="40% - Accent1 4 2 2 2" xfId="399" xr:uid="{57C7F468-C3DA-479E-9306-85742FF39A4B}"/>
    <cellStyle name="40% - Accent1 4 2 2 3" xfId="400" xr:uid="{202DC50E-F1DF-4B62-94D1-4B107196688B}"/>
    <cellStyle name="40% - Accent1 4 2 3" xfId="401" xr:uid="{331D92C0-8A09-4791-B303-B07B9789E0CE}"/>
    <cellStyle name="40% - Accent1 4 2 4" xfId="402" xr:uid="{A5BD00E9-8D77-4A78-9E6C-C3A8A7525D32}"/>
    <cellStyle name="40% - Accent1 4 3" xfId="403" xr:uid="{0C07E0C2-375A-4082-9137-6542F039E051}"/>
    <cellStyle name="40% - Accent1 4 3 2" xfId="404" xr:uid="{99925271-35DB-44C0-844C-5B2C3C365DCE}"/>
    <cellStyle name="40% - Accent1 4 3 3" xfId="405" xr:uid="{18FC269B-AC6F-4692-9A74-FC84B9FE4401}"/>
    <cellStyle name="40% - Accent1 4 4" xfId="406" xr:uid="{1FEF45D1-45DF-467C-9916-4EFA086C8885}"/>
    <cellStyle name="40% - Accent1 4 4 2" xfId="407" xr:uid="{A235360C-BD97-4376-98F9-F4C3A8DAA1ED}"/>
    <cellStyle name="40% - Accent1 4 4 3" xfId="408" xr:uid="{A8CFA658-C2F4-4B21-B6B4-BB676EAB6F0E}"/>
    <cellStyle name="40% - Accent1 4 5" xfId="409" xr:uid="{D9422C64-5A83-4EA5-922C-08EF039E2B4E}"/>
    <cellStyle name="40% - Accent1 4 6" xfId="410" xr:uid="{F103403B-AB02-4582-804A-189E3FDE72BC}"/>
    <cellStyle name="40% - Accent1 4 6 2" xfId="411" xr:uid="{32318544-7231-418B-A5FC-5B9598634C48}"/>
    <cellStyle name="40% - Accent1 4 6 3" xfId="412" xr:uid="{E8482570-7C57-4485-BAD1-54CF56EE155A}"/>
    <cellStyle name="40% - Accent1 4 7" xfId="413" xr:uid="{9BD39D73-BFD3-40AF-AA25-B2593E2CFC40}"/>
    <cellStyle name="40% - Accent1 4 8" xfId="414" xr:uid="{CE4F5ED2-3A6E-4ADC-81D4-0254DD06082C}"/>
    <cellStyle name="40% - Accent1 5" xfId="415" xr:uid="{01FFECCB-C588-4C40-AC62-61CA0B3F0003}"/>
    <cellStyle name="40% - Accent2 2" xfId="416" xr:uid="{A08D4409-FB43-4BEF-875B-8EE28A172467}"/>
    <cellStyle name="40% - Accent2 2 2" xfId="417" xr:uid="{F2BEDBC3-1E47-4036-8508-0B820B953659}"/>
    <cellStyle name="40% - Accent2 2 3" xfId="418" xr:uid="{405C1D8D-463C-4EF2-BA34-EC7D9E24D0A3}"/>
    <cellStyle name="40% - Accent2 2 3 2" xfId="419" xr:uid="{6527537F-F163-4C0F-ADD5-A2FC12E839A1}"/>
    <cellStyle name="40% - Accent2 2 3 2 2" xfId="420" xr:uid="{3CF11B64-CBD0-43E6-943E-34F07078FD14}"/>
    <cellStyle name="40% - Accent2 2 3 2 3" xfId="421" xr:uid="{E8199AB8-9FA6-42DE-9DB1-0C481CEAFA1A}"/>
    <cellStyle name="40% - Accent2 2 3 3" xfId="422" xr:uid="{65F186BD-4A21-4363-8413-62F3BF21AB73}"/>
    <cellStyle name="40% - Accent2 2 3 4" xfId="423" xr:uid="{91477896-D95A-49E1-B6E3-CE6286DBA749}"/>
    <cellStyle name="40% - Accent2 2 4" xfId="424" xr:uid="{B6944F5E-C87E-4A37-A33F-43419C80F35A}"/>
    <cellStyle name="40% - Accent2 2 4 2" xfId="425" xr:uid="{5D24C0E6-2087-4111-89C5-34315E7C1A3A}"/>
    <cellStyle name="40% - Accent2 2 4 3" xfId="426" xr:uid="{4BA3561B-B9DE-4B2C-BA84-C651AFF9C720}"/>
    <cellStyle name="40% - Accent2 2 5" xfId="427" xr:uid="{314D8726-672F-4DDB-BA62-A24D72AD0CF6}"/>
    <cellStyle name="40% - Accent2 2 5 2" xfId="428" xr:uid="{6B940B6B-5DAA-43B4-B69E-F5139A217DA1}"/>
    <cellStyle name="40% - Accent2 2 5 3" xfId="429" xr:uid="{E0AAA907-F990-4689-BA74-7D7B9376C523}"/>
    <cellStyle name="40% - Accent2 2 6" xfId="430" xr:uid="{4A80E551-D07A-4C0D-B130-ED7BAD395A8D}"/>
    <cellStyle name="40% - Accent2 2 7" xfId="431" xr:uid="{AE64B935-118D-4D8B-A8A4-4EE8B7D6F4A0}"/>
    <cellStyle name="40% - Accent2 2 7 2" xfId="432" xr:uid="{5E986147-6A44-4295-B917-E8179534D1D4}"/>
    <cellStyle name="40% - Accent2 2 7 3" xfId="433" xr:uid="{A4D78164-4BA5-48BF-BD51-8CA0ADE4BB0D}"/>
    <cellStyle name="40% - Accent2 2 8" xfId="434" xr:uid="{ED9ABE76-CB81-4CBF-B4C1-7DE6FE1CD854}"/>
    <cellStyle name="40% - Accent2 2 9" xfId="435" xr:uid="{4427A8C2-812D-437C-A1AD-8FE2E1AB9A8D}"/>
    <cellStyle name="40% - Accent2 3" xfId="436" xr:uid="{F6B896EE-61EA-41E3-A527-6B566C416FB1}"/>
    <cellStyle name="40% - Accent2 3 2" xfId="437" xr:uid="{CD3A8EC8-34B2-4538-B98D-A66A93EABA2F}"/>
    <cellStyle name="40% - Accent2 3 2 2" xfId="438" xr:uid="{B41D5AA9-BFBA-4BCB-AD03-4B8B5F625DFE}"/>
    <cellStyle name="40% - Accent2 3 2 2 2" xfId="439" xr:uid="{A380DBFA-E28A-4C45-8C07-30DAD994E8D5}"/>
    <cellStyle name="40% - Accent2 3 2 2 3" xfId="440" xr:uid="{1E0D6452-55C9-436B-8FAB-B9530F7FFC25}"/>
    <cellStyle name="40% - Accent2 3 2 3" xfId="441" xr:uid="{04E741DE-0391-45C8-9BE3-179E028A4C99}"/>
    <cellStyle name="40% - Accent2 3 2 4" xfId="442" xr:uid="{D23F6F11-22B4-403C-B47B-25E37E98A196}"/>
    <cellStyle name="40% - Accent2 3 3" xfId="443" xr:uid="{5937DA8A-004F-4DD3-B928-6E7EE49C4D96}"/>
    <cellStyle name="40% - Accent2 3 3 2" xfId="444" xr:uid="{33B9A64B-CCCB-42DA-933B-CC3FB2B3822B}"/>
    <cellStyle name="40% - Accent2 3 3 3" xfId="445" xr:uid="{36B3B466-C621-4C9B-9100-E8B30DD2EFF7}"/>
    <cellStyle name="40% - Accent2 3 4" xfId="446" xr:uid="{156D24E2-B1C6-447F-BCAD-078EC8178DB3}"/>
    <cellStyle name="40% - Accent2 3 4 2" xfId="447" xr:uid="{F6D0E3C7-F2E3-4958-A410-4A29C5FC4821}"/>
    <cellStyle name="40% - Accent2 3 4 3" xfId="448" xr:uid="{550F8731-8EED-4D14-B8E7-4511ACBDEEB6}"/>
    <cellStyle name="40% - Accent2 3 5" xfId="449" xr:uid="{BFA70211-F6AF-4BE8-A25E-1A3DA907936B}"/>
    <cellStyle name="40% - Accent2 3 6" xfId="450" xr:uid="{489E77A3-154A-4F9C-AD09-863C25BAECC6}"/>
    <cellStyle name="40% - Accent2 3 6 2" xfId="451" xr:uid="{AFA01CC8-1D11-42C6-B030-EAC35DB853CD}"/>
    <cellStyle name="40% - Accent2 3 6 3" xfId="452" xr:uid="{83E63439-4760-420D-9917-9C6BD2B131F8}"/>
    <cellStyle name="40% - Accent2 3 7" xfId="453" xr:uid="{7805D36F-28DE-488C-AB03-7C9C43933026}"/>
    <cellStyle name="40% - Accent2 3 8" xfId="454" xr:uid="{F2A49770-91E2-446B-8ED0-7F75C738AFF8}"/>
    <cellStyle name="40% - Accent2 4" xfId="455" xr:uid="{C8AA5C09-71DD-424A-A881-0D86ADC74E0E}"/>
    <cellStyle name="40% - Accent2 4 2" xfId="456" xr:uid="{A3ED4E67-3A48-413E-A1A3-123143C14C6F}"/>
    <cellStyle name="40% - Accent2 4 2 2" xfId="457" xr:uid="{037A6AF9-BD0C-42B7-928E-8D88C6B75CE7}"/>
    <cellStyle name="40% - Accent2 4 2 2 2" xfId="458" xr:uid="{91B2CD8D-B4AD-45D9-A650-3134163838F5}"/>
    <cellStyle name="40% - Accent2 4 2 2 3" xfId="459" xr:uid="{3CD5255C-6DE3-4A6A-8C30-35D30E853B59}"/>
    <cellStyle name="40% - Accent2 4 2 3" xfId="460" xr:uid="{E948E7EA-632B-4AB0-9282-828583525424}"/>
    <cellStyle name="40% - Accent2 4 2 4" xfId="461" xr:uid="{33FF112B-682A-471F-9D10-2F1453A0FE10}"/>
    <cellStyle name="40% - Accent2 4 3" xfId="462" xr:uid="{531DD049-2AB3-445E-8629-C9290F2D84AE}"/>
    <cellStyle name="40% - Accent2 4 3 2" xfId="463" xr:uid="{9B8128EF-05D1-4C5E-8ECC-210C86EBF52F}"/>
    <cellStyle name="40% - Accent2 4 3 3" xfId="464" xr:uid="{E5E88210-B3A0-4F3E-A732-4C8130328C16}"/>
    <cellStyle name="40% - Accent2 4 4" xfId="465" xr:uid="{A3FFE6CA-F387-4322-AFD2-6CCD097F535D}"/>
    <cellStyle name="40% - Accent2 4 4 2" xfId="466" xr:uid="{D264474E-EBEE-4F3A-A02A-428738E97772}"/>
    <cellStyle name="40% - Accent2 4 4 3" xfId="467" xr:uid="{F682FD41-87F2-4AAA-A7C6-0409B0034F7D}"/>
    <cellStyle name="40% - Accent2 4 5" xfId="468" xr:uid="{CCF90730-1832-4AC2-B7CE-436937FFAD8F}"/>
    <cellStyle name="40% - Accent2 4 6" xfId="469" xr:uid="{D0D3F8C5-2695-4E8B-953C-F2B384B8B2B7}"/>
    <cellStyle name="40% - Accent2 4 6 2" xfId="470" xr:uid="{00FDB229-C198-4F13-BDF4-03B413358771}"/>
    <cellStyle name="40% - Accent2 4 6 3" xfId="471" xr:uid="{CA9B5482-837E-4A51-8002-6B3284338CCE}"/>
    <cellStyle name="40% - Accent2 4 7" xfId="472" xr:uid="{0CD04B0D-AC7D-4F84-B49E-EF60B1A11859}"/>
    <cellStyle name="40% - Accent2 4 8" xfId="473" xr:uid="{5A30FBCB-6711-4854-8FE1-B2D99E39C370}"/>
    <cellStyle name="40% - Accent2 5" xfId="474" xr:uid="{A5543141-6A8A-4046-8A23-51FA128C76F1}"/>
    <cellStyle name="40% - Accent3 2" xfId="475" xr:uid="{E232FD58-8355-43F2-9021-BC6B09358A23}"/>
    <cellStyle name="40% - Accent3 2 2" xfId="476" xr:uid="{9D4166C8-FE12-4C66-B5EB-4C7FF470C6E6}"/>
    <cellStyle name="40% - Accent3 2 3" xfId="477" xr:uid="{B13FE2D9-F324-4483-A65E-44463EDB57F4}"/>
    <cellStyle name="40% - Accent3 2 3 2" xfId="478" xr:uid="{87F878FA-8400-4771-B5CB-DA2F9FF7115C}"/>
    <cellStyle name="40% - Accent3 2 3 2 2" xfId="479" xr:uid="{012F54A1-CD1E-4375-ACCB-5B6227A38743}"/>
    <cellStyle name="40% - Accent3 2 3 2 3" xfId="480" xr:uid="{2BA9ABC5-9F5C-40AF-B139-C457FF0BD3FD}"/>
    <cellStyle name="40% - Accent3 2 3 3" xfId="481" xr:uid="{87907D47-2E11-4641-B3EC-297E502CE820}"/>
    <cellStyle name="40% - Accent3 2 3 4" xfId="482" xr:uid="{1F333C90-9936-47A3-B07D-1F54279F57AA}"/>
    <cellStyle name="40% - Accent3 2 4" xfId="483" xr:uid="{DA06C927-9CBC-4E6D-A2F4-23E711BA37F9}"/>
    <cellStyle name="40% - Accent3 2 4 2" xfId="484" xr:uid="{DACFA577-15D2-4C2E-B8EB-5F4F4AE56AFF}"/>
    <cellStyle name="40% - Accent3 2 4 3" xfId="485" xr:uid="{A1022BB6-44AB-4995-92BE-66F4CC9CB6F9}"/>
    <cellStyle name="40% - Accent3 2 5" xfId="486" xr:uid="{C92281BB-25EF-4E25-9225-6D017D32AE43}"/>
    <cellStyle name="40% - Accent3 2 5 2" xfId="487" xr:uid="{33F9FE58-8392-4693-8B6B-3CB5667BF342}"/>
    <cellStyle name="40% - Accent3 2 5 3" xfId="488" xr:uid="{D1CD1B1C-EBA2-4F2E-8672-CF6F0DEC07C9}"/>
    <cellStyle name="40% - Accent3 2 6" xfId="489" xr:uid="{CB5239B6-4535-49E8-AB5C-25EF20780144}"/>
    <cellStyle name="40% - Accent3 2 7" xfId="490" xr:uid="{BB4D5446-E704-4271-AAF8-7379EBA08AF6}"/>
    <cellStyle name="40% - Accent3 2 7 2" xfId="491" xr:uid="{B5B5F643-3F18-4C94-81C4-4118C2B75FC9}"/>
    <cellStyle name="40% - Accent3 2 7 3" xfId="492" xr:uid="{64760425-9996-4088-AE57-D7B71570C83D}"/>
    <cellStyle name="40% - Accent3 2 8" xfId="493" xr:uid="{FA401FD3-BB9C-435A-B46A-92E09524C0F8}"/>
    <cellStyle name="40% - Accent3 2 9" xfId="494" xr:uid="{CB2CDE10-D29E-48F0-8F85-7B84D75DE006}"/>
    <cellStyle name="40% - Accent3 3" xfId="495" xr:uid="{1679A94A-C112-4BA4-9AED-4A1FB9B9C3AA}"/>
    <cellStyle name="40% - Accent3 3 2" xfId="496" xr:uid="{D6287D2D-EE1C-45D8-83B5-1CA73CF9205D}"/>
    <cellStyle name="40% - Accent3 3 2 2" xfId="497" xr:uid="{40E5DB0C-DBD6-4A1E-829F-E942CC9A90D9}"/>
    <cellStyle name="40% - Accent3 3 2 2 2" xfId="498" xr:uid="{37319986-8A6B-447E-A589-7463E219EB67}"/>
    <cellStyle name="40% - Accent3 3 2 2 3" xfId="499" xr:uid="{1F58EE9B-C059-4F45-B7EB-0C4FE5CAEB55}"/>
    <cellStyle name="40% - Accent3 3 2 3" xfId="500" xr:uid="{A6F6C7F7-08B8-406C-AE68-7650BDA22F16}"/>
    <cellStyle name="40% - Accent3 3 2 4" xfId="501" xr:uid="{EA3849CE-3CE7-48E5-9CCD-D1357FC8E967}"/>
    <cellStyle name="40% - Accent3 3 3" xfId="502" xr:uid="{BB4E4EBE-F462-4990-937C-021D23543B3E}"/>
    <cellStyle name="40% - Accent3 3 3 2" xfId="503" xr:uid="{858EED1C-9559-4ABD-B373-29214B7A3876}"/>
    <cellStyle name="40% - Accent3 3 3 3" xfId="504" xr:uid="{C53A23B3-7004-49CD-BF44-78536E60E2EC}"/>
    <cellStyle name="40% - Accent3 3 4" xfId="505" xr:uid="{E25A97A5-2968-4854-82F1-48725B3EFB5E}"/>
    <cellStyle name="40% - Accent3 3 4 2" xfId="506" xr:uid="{006BBA9B-6440-42A5-8778-8F65E59ED4B6}"/>
    <cellStyle name="40% - Accent3 3 4 3" xfId="507" xr:uid="{5AE82837-07CB-44B5-A5B0-455A2BA129F0}"/>
    <cellStyle name="40% - Accent3 3 5" xfId="508" xr:uid="{D6DAE8FD-2BBD-4C5C-B070-159AABEB0C2E}"/>
    <cellStyle name="40% - Accent3 3 6" xfId="509" xr:uid="{A6275EE7-E9DB-4293-9613-597982D91845}"/>
    <cellStyle name="40% - Accent3 3 6 2" xfId="510" xr:uid="{0A93AFD7-E176-4064-9858-E5DA682766B1}"/>
    <cellStyle name="40% - Accent3 3 6 3" xfId="511" xr:uid="{9358971E-3AD6-4E38-B6E0-EEDF5F27FB9B}"/>
    <cellStyle name="40% - Accent3 3 7" xfId="512" xr:uid="{1064F3CE-DF57-43EF-81A1-AE61118BEBE1}"/>
    <cellStyle name="40% - Accent3 3 8" xfId="513" xr:uid="{E745DB02-E28D-4ED2-B9BE-7AF4B71294FA}"/>
    <cellStyle name="40% - Accent3 4" xfId="514" xr:uid="{268EA669-6F13-4573-92EA-078334EDAA10}"/>
    <cellStyle name="40% - Accent3 4 2" xfId="515" xr:uid="{01A0F65B-16DB-4E3B-B9E5-B5F47D680E79}"/>
    <cellStyle name="40% - Accent3 4 2 2" xfId="516" xr:uid="{2B361B15-B9C2-4089-9CD2-B5C1F4A859AE}"/>
    <cellStyle name="40% - Accent3 4 2 2 2" xfId="517" xr:uid="{4159A1F5-4D56-4D88-872A-68F41A7A3A76}"/>
    <cellStyle name="40% - Accent3 4 2 2 3" xfId="518" xr:uid="{9D56DEC3-60D8-45A4-B3CF-C2275CC0569B}"/>
    <cellStyle name="40% - Accent3 4 2 3" xfId="519" xr:uid="{C5504324-80AB-4C2F-B770-E58C94CEB5FD}"/>
    <cellStyle name="40% - Accent3 4 2 4" xfId="520" xr:uid="{370395DC-8490-4EBF-922B-AB7E1ABB82DE}"/>
    <cellStyle name="40% - Accent3 4 3" xfId="521" xr:uid="{C40D0092-DD0E-414D-8900-F2B8B316692E}"/>
    <cellStyle name="40% - Accent3 4 3 2" xfId="522" xr:uid="{7BF081F4-4839-412A-A702-A2CEA916C566}"/>
    <cellStyle name="40% - Accent3 4 3 3" xfId="523" xr:uid="{76EAFF4B-20BD-480B-B878-D856B69D8E0A}"/>
    <cellStyle name="40% - Accent3 4 4" xfId="524" xr:uid="{02B13F8F-E3D2-4147-AC56-F5F7557B7E5B}"/>
    <cellStyle name="40% - Accent3 4 4 2" xfId="525" xr:uid="{FFFA7ADD-BF11-4A0E-A5FF-E12C9720B28A}"/>
    <cellStyle name="40% - Accent3 4 4 3" xfId="526" xr:uid="{97589810-AB62-4B05-8DB1-F173C67636ED}"/>
    <cellStyle name="40% - Accent3 4 5" xfId="527" xr:uid="{9E57112D-2942-4CA9-B7D6-DC5B776AE4BC}"/>
    <cellStyle name="40% - Accent3 4 6" xfId="528" xr:uid="{4C81A395-30EC-40C8-A2D5-2E9904ACDA0B}"/>
    <cellStyle name="40% - Accent3 4 6 2" xfId="529" xr:uid="{6E7E689A-A130-45AA-9B21-504560218712}"/>
    <cellStyle name="40% - Accent3 4 6 3" xfId="530" xr:uid="{CCBB3B40-3F0C-413A-9CCE-01272A80A20B}"/>
    <cellStyle name="40% - Accent3 4 7" xfId="531" xr:uid="{867DE179-1847-4C19-A791-DA21CD29AF8C}"/>
    <cellStyle name="40% - Accent3 4 8" xfId="532" xr:uid="{F005F20D-7C79-47D0-BFAC-E30935E425D3}"/>
    <cellStyle name="40% - Accent3 5" xfId="533" xr:uid="{2E800367-A2E7-4587-8CB3-2E60A29993F2}"/>
    <cellStyle name="40% - Accent4 2" xfId="534" xr:uid="{4CB42F25-BA5B-4993-A31F-73EC94ECC1D8}"/>
    <cellStyle name="40% - Accent4 2 2" xfId="535" xr:uid="{02781EE5-F4AC-4224-B02D-0ADB60D16BCC}"/>
    <cellStyle name="40% - Accent4 2 3" xfId="536" xr:uid="{366E610D-0A4C-4A9F-A448-C0FB5A595506}"/>
    <cellStyle name="40% - Accent4 2 3 2" xfId="537" xr:uid="{6EFFB8C2-456E-436B-8548-DE1AA11A50BC}"/>
    <cellStyle name="40% - Accent4 2 3 2 2" xfId="538" xr:uid="{85082CDE-0E4B-46CD-86BB-F25F341BFD20}"/>
    <cellStyle name="40% - Accent4 2 3 2 3" xfId="539" xr:uid="{39ABABAC-3879-4A15-9F10-F65DAD7D0B61}"/>
    <cellStyle name="40% - Accent4 2 3 3" xfId="540" xr:uid="{A6E8BEBD-7173-46E6-9B4A-7E9F56B63E7A}"/>
    <cellStyle name="40% - Accent4 2 3 4" xfId="541" xr:uid="{AF3377E5-54B5-43AD-8B58-F52F0DF289F8}"/>
    <cellStyle name="40% - Accent4 2 4" xfId="542" xr:uid="{84551DFF-AD07-4AFF-9B5B-0547EC6F0668}"/>
    <cellStyle name="40% - Accent4 2 4 2" xfId="543" xr:uid="{4A3EE170-5901-462C-A08B-2F0A21FD9B27}"/>
    <cellStyle name="40% - Accent4 2 4 3" xfId="544" xr:uid="{9FEA0615-4278-4D33-B604-96CA82BCB7FF}"/>
    <cellStyle name="40% - Accent4 2 5" xfId="545" xr:uid="{EAFC680B-0414-4ED3-AB91-8AF70B385D42}"/>
    <cellStyle name="40% - Accent4 2 5 2" xfId="546" xr:uid="{89D31718-2611-404B-9A4D-A85844FFA24E}"/>
    <cellStyle name="40% - Accent4 2 5 3" xfId="547" xr:uid="{91E1ABE6-5A8C-4FC0-AAAE-AD7A6E7203FC}"/>
    <cellStyle name="40% - Accent4 2 6" xfId="548" xr:uid="{17CD2958-E3B7-4ABC-BABD-F868C741CC63}"/>
    <cellStyle name="40% - Accent4 2 7" xfId="549" xr:uid="{26589DEE-7955-4A67-86FC-EE83BFBEBD50}"/>
    <cellStyle name="40% - Accent4 2 7 2" xfId="550" xr:uid="{4C2BA0D1-1960-4958-ADCA-89045E59157F}"/>
    <cellStyle name="40% - Accent4 2 7 3" xfId="551" xr:uid="{56654D2B-F8DD-44AF-96A8-7F36C820EE0F}"/>
    <cellStyle name="40% - Accent4 2 8" xfId="552" xr:uid="{C229FA66-746D-4462-BA34-62FD1B49E208}"/>
    <cellStyle name="40% - Accent4 2 9" xfId="553" xr:uid="{909C0F16-E05C-4AB1-9114-F3DA7D0EBE0B}"/>
    <cellStyle name="40% - Accent4 3" xfId="554" xr:uid="{654DA9C9-CCFA-4AA5-B3E8-ACAE2C68396F}"/>
    <cellStyle name="40% - Accent4 3 2" xfId="555" xr:uid="{400E4785-F622-46C7-B3F5-9809E3710411}"/>
    <cellStyle name="40% - Accent4 3 2 2" xfId="556" xr:uid="{7C7065FE-C426-4998-A6C0-936BB43E2BD8}"/>
    <cellStyle name="40% - Accent4 3 2 2 2" xfId="557" xr:uid="{E2A8EBB1-8709-4395-828B-0E11D499580B}"/>
    <cellStyle name="40% - Accent4 3 2 2 3" xfId="558" xr:uid="{AF451111-E2BA-42C3-BF90-1F0DE2AF3193}"/>
    <cellStyle name="40% - Accent4 3 2 3" xfId="559" xr:uid="{93EC0C6E-CE3E-4793-89A0-86CDB03AA046}"/>
    <cellStyle name="40% - Accent4 3 2 4" xfId="560" xr:uid="{ABAA9C35-F37B-40C8-A8FD-59C0B1FF5D32}"/>
    <cellStyle name="40% - Accent4 3 3" xfId="561" xr:uid="{07C55C3D-A901-416E-9331-73DF97BE44B2}"/>
    <cellStyle name="40% - Accent4 3 3 2" xfId="562" xr:uid="{BC60565C-72E7-4854-A603-8B39D434C0A9}"/>
    <cellStyle name="40% - Accent4 3 3 3" xfId="563" xr:uid="{7ABD4C26-A0FE-427D-A934-7570A4764535}"/>
    <cellStyle name="40% - Accent4 3 4" xfId="564" xr:uid="{C3181443-831E-48E1-898F-4FF8D747C8CD}"/>
    <cellStyle name="40% - Accent4 3 4 2" xfId="565" xr:uid="{3366DEE5-0F53-4E89-9E42-1979FAB93D23}"/>
    <cellStyle name="40% - Accent4 3 4 3" xfId="566" xr:uid="{A37A7267-1445-4648-B9D9-1E32BC8E12A4}"/>
    <cellStyle name="40% - Accent4 3 5" xfId="567" xr:uid="{D6B9DB24-C3F2-4BB2-95C4-EA9A301648D0}"/>
    <cellStyle name="40% - Accent4 3 6" xfId="568" xr:uid="{AB215C03-8347-4328-9E77-3DDE8DEF7295}"/>
    <cellStyle name="40% - Accent4 3 6 2" xfId="569" xr:uid="{B6C5730A-51D8-4F8C-9134-BF37F6F60DD6}"/>
    <cellStyle name="40% - Accent4 3 6 3" xfId="570" xr:uid="{B232C344-262C-4D24-B343-D6D6EBF55A8A}"/>
    <cellStyle name="40% - Accent4 3 7" xfId="571" xr:uid="{73A3D1F3-C1B4-4A83-9477-EFF571392EA9}"/>
    <cellStyle name="40% - Accent4 3 8" xfId="572" xr:uid="{DB2D1651-7BDB-48E3-A389-8CD2E015B818}"/>
    <cellStyle name="40% - Accent4 4" xfId="573" xr:uid="{F5E46B4B-D24A-475A-9BDE-F698F67D403C}"/>
    <cellStyle name="40% - Accent4 4 2" xfId="574" xr:uid="{65134842-5C69-4CA2-A043-B9F4DD5E0115}"/>
    <cellStyle name="40% - Accent4 4 2 2" xfId="575" xr:uid="{C18DF8F6-42C5-4430-8E6E-44A2C564B3BA}"/>
    <cellStyle name="40% - Accent4 4 2 2 2" xfId="576" xr:uid="{4E89797A-9FF4-42D0-A5AE-8DDDF6CA134D}"/>
    <cellStyle name="40% - Accent4 4 2 2 3" xfId="577" xr:uid="{14A33479-413E-4CAE-9DE5-52DECDFD6E0D}"/>
    <cellStyle name="40% - Accent4 4 2 3" xfId="578" xr:uid="{07F87DEB-9C81-44D5-B3E1-1796D3A986D2}"/>
    <cellStyle name="40% - Accent4 4 2 4" xfId="579" xr:uid="{3A12723D-8D0D-442B-B170-333190D653FF}"/>
    <cellStyle name="40% - Accent4 4 3" xfId="580" xr:uid="{4C3B3DDB-80C6-4865-A8D5-522B25F4C015}"/>
    <cellStyle name="40% - Accent4 4 3 2" xfId="581" xr:uid="{155D345B-F973-43BF-9EC5-031C877499E3}"/>
    <cellStyle name="40% - Accent4 4 3 3" xfId="582" xr:uid="{D3983D90-2EA9-4B1F-8C51-258326589026}"/>
    <cellStyle name="40% - Accent4 4 4" xfId="583" xr:uid="{A3544ED4-18B0-40F6-A5B1-019C924E62E2}"/>
    <cellStyle name="40% - Accent4 4 4 2" xfId="584" xr:uid="{391EA900-A2C3-4480-A184-5396B88C540F}"/>
    <cellStyle name="40% - Accent4 4 4 3" xfId="585" xr:uid="{7EF1ED3F-943F-4EE6-A3A5-7B150E68F4AB}"/>
    <cellStyle name="40% - Accent4 4 5" xfId="586" xr:uid="{77E94407-894E-4235-A256-6D9B1601087B}"/>
    <cellStyle name="40% - Accent4 4 6" xfId="587" xr:uid="{08F0D2E4-807F-4AB2-8E85-5DCF69A1D2E6}"/>
    <cellStyle name="40% - Accent4 4 6 2" xfId="588" xr:uid="{8BEECC18-9DC8-4C3C-8F64-59CC0376BA14}"/>
    <cellStyle name="40% - Accent4 4 6 3" xfId="589" xr:uid="{FFC4C217-2D64-4F61-B76F-27E5D34FCDDC}"/>
    <cellStyle name="40% - Accent4 4 7" xfId="590" xr:uid="{9CB72925-57BB-4182-827E-CBB567D48124}"/>
    <cellStyle name="40% - Accent4 4 8" xfId="591" xr:uid="{632FDC41-B5DA-4B6F-BBE0-73B226479ABD}"/>
    <cellStyle name="40% - Accent4 5" xfId="592" xr:uid="{EBDD7756-CFA8-40D1-B81F-DA218A53F42E}"/>
    <cellStyle name="40% - Accent5 2" xfId="593" xr:uid="{88B497FF-0D67-4786-AC9A-5FB9AE21D7B2}"/>
    <cellStyle name="40% - Accent5 2 2" xfId="594" xr:uid="{765F1863-74D6-4FC3-A75A-6D4371071C41}"/>
    <cellStyle name="40% - Accent5 2 3" xfId="595" xr:uid="{0AD8C466-1ED6-4C09-80CD-E815B4B18671}"/>
    <cellStyle name="40% - Accent5 2 3 2" xfId="596" xr:uid="{50246F1F-54BF-48B5-9C4D-BAA111EB50ED}"/>
    <cellStyle name="40% - Accent5 2 3 2 2" xfId="597" xr:uid="{36BD4E75-11E8-48CF-8036-093492D25BC3}"/>
    <cellStyle name="40% - Accent5 2 3 2 3" xfId="598" xr:uid="{3E1EDE37-FF79-48AD-8F52-FC921B26335D}"/>
    <cellStyle name="40% - Accent5 2 3 3" xfId="599" xr:uid="{B8AF3AB8-FF36-4A28-BE5C-61815E7F1C6D}"/>
    <cellStyle name="40% - Accent5 2 3 4" xfId="600" xr:uid="{EA994A21-B98F-4A25-AEE8-B6AA5FA7A9D8}"/>
    <cellStyle name="40% - Accent5 2 4" xfId="601" xr:uid="{7629C620-4872-4DED-981A-262881535DD3}"/>
    <cellStyle name="40% - Accent5 2 4 2" xfId="602" xr:uid="{6AE56771-EA90-4681-A805-6E61D20F8B26}"/>
    <cellStyle name="40% - Accent5 2 4 3" xfId="603" xr:uid="{E3213BA8-457D-4FBB-838B-721640CAA631}"/>
    <cellStyle name="40% - Accent5 2 5" xfId="604" xr:uid="{57074B46-4304-44FA-A626-16A1EE2FA90C}"/>
    <cellStyle name="40% - Accent5 2 5 2" xfId="605" xr:uid="{A77A6D45-701B-4972-B090-B532ED400E89}"/>
    <cellStyle name="40% - Accent5 2 5 3" xfId="606" xr:uid="{DC2F5EBF-02B7-4162-9B51-E3578CFAB1C7}"/>
    <cellStyle name="40% - Accent5 2 6" xfId="607" xr:uid="{259FBC90-A95C-4580-9ED5-97770AF0675F}"/>
    <cellStyle name="40% - Accent5 2 7" xfId="608" xr:uid="{38C02A60-E105-4F7F-BADE-D0B00A03408F}"/>
    <cellStyle name="40% - Accent5 2 7 2" xfId="609" xr:uid="{B69991C1-E158-4C11-8A4C-C7747BA445FF}"/>
    <cellStyle name="40% - Accent5 2 7 3" xfId="610" xr:uid="{1BA248B0-FC75-45EE-B5CF-471FC5CE9DB3}"/>
    <cellStyle name="40% - Accent5 2 8" xfId="611" xr:uid="{BCBD0587-76FE-43D4-BF9C-8B1A5C2FC13E}"/>
    <cellStyle name="40% - Accent5 2 9" xfId="612" xr:uid="{627A3442-9D23-4888-8C11-FCF8E350D760}"/>
    <cellStyle name="40% - Accent5 3" xfId="613" xr:uid="{A9E28BD0-4EC9-4E7E-971E-DD136787E63A}"/>
    <cellStyle name="40% - Accent5 3 2" xfId="614" xr:uid="{4825866F-5875-4E31-A155-C2F48EBE7AE5}"/>
    <cellStyle name="40% - Accent5 3 2 2" xfId="615" xr:uid="{6D46292E-D9C5-4991-8AE5-DFB37EBA0AE4}"/>
    <cellStyle name="40% - Accent5 3 2 2 2" xfId="616" xr:uid="{1FFE09D7-F1B2-4903-8234-D98F1B650428}"/>
    <cellStyle name="40% - Accent5 3 2 2 3" xfId="617" xr:uid="{59260E26-550A-4956-AAE0-3B25A83A2C6F}"/>
    <cellStyle name="40% - Accent5 3 2 3" xfId="618" xr:uid="{DA8AB5D1-97A0-4D63-8D36-63C8662539B3}"/>
    <cellStyle name="40% - Accent5 3 2 4" xfId="619" xr:uid="{2EB96482-EA64-4CC3-9094-DDA9EB3E9101}"/>
    <cellStyle name="40% - Accent5 3 3" xfId="620" xr:uid="{9E019CC5-F125-4816-81D3-4D4F2CE1E9D6}"/>
    <cellStyle name="40% - Accent5 3 3 2" xfId="621" xr:uid="{77345A19-A367-46C9-A934-1AFDA8C42928}"/>
    <cellStyle name="40% - Accent5 3 3 3" xfId="622" xr:uid="{2B4D30B9-FB76-45F4-8C99-1A02910E5106}"/>
    <cellStyle name="40% - Accent5 3 4" xfId="623" xr:uid="{F14E5CCC-31C9-4930-A8FC-ED495BAD62E2}"/>
    <cellStyle name="40% - Accent5 3 4 2" xfId="624" xr:uid="{F6EF6C95-A80B-4D5D-AC9F-F0C19D88F6A4}"/>
    <cellStyle name="40% - Accent5 3 4 3" xfId="625" xr:uid="{95051A5A-82D4-4634-A45C-F29EF30A4EB1}"/>
    <cellStyle name="40% - Accent5 3 5" xfId="626" xr:uid="{38D09A45-158F-49EA-AA62-CAAF4AD1834D}"/>
    <cellStyle name="40% - Accent5 3 6" xfId="627" xr:uid="{0E15BE08-781B-4956-88B3-264D3C2419AB}"/>
    <cellStyle name="40% - Accent5 3 6 2" xfId="628" xr:uid="{24A8CFDE-18BB-42ED-9213-9486333A9292}"/>
    <cellStyle name="40% - Accent5 3 6 3" xfId="629" xr:uid="{A31561F8-2008-427C-A425-E9C59BCDEA05}"/>
    <cellStyle name="40% - Accent5 3 7" xfId="630" xr:uid="{69E90690-EAAF-446F-B79E-702DFC74CE7A}"/>
    <cellStyle name="40% - Accent5 3 8" xfId="631" xr:uid="{41E5619A-30E1-4709-BDC4-5ACEBF743442}"/>
    <cellStyle name="40% - Accent5 4" xfId="632" xr:uid="{290CED3E-0F10-4656-A230-8B3DABC008C0}"/>
    <cellStyle name="40% - Accent5 4 2" xfId="633" xr:uid="{047B9F0E-265F-4768-9EA5-33A51E5FC1E2}"/>
    <cellStyle name="40% - Accent5 4 2 2" xfId="634" xr:uid="{1DAACDB0-4748-4AA6-9148-C27185AFF549}"/>
    <cellStyle name="40% - Accent5 4 2 2 2" xfId="635" xr:uid="{9582C2D3-7BA6-483D-81C5-B8D3F11910DD}"/>
    <cellStyle name="40% - Accent5 4 2 2 3" xfId="636" xr:uid="{681F9D08-2DC5-449A-A2E4-64739D9E6EDA}"/>
    <cellStyle name="40% - Accent5 4 2 3" xfId="637" xr:uid="{B636B070-42F0-4A12-A307-03866B5D8406}"/>
    <cellStyle name="40% - Accent5 4 2 4" xfId="638" xr:uid="{E3B505AB-1388-4D9D-A4FC-8DD1A91581A5}"/>
    <cellStyle name="40% - Accent5 4 3" xfId="639" xr:uid="{0B6CD7D6-3DCC-4F25-8FE2-0F8CD4076AC5}"/>
    <cellStyle name="40% - Accent5 4 3 2" xfId="640" xr:uid="{6E671D65-C778-4696-99AC-990FAB2F89D9}"/>
    <cellStyle name="40% - Accent5 4 3 3" xfId="641" xr:uid="{1DF9547C-908F-4ED9-BCAB-DEF1167E4959}"/>
    <cellStyle name="40% - Accent5 4 4" xfId="642" xr:uid="{8FA3F698-65D7-495D-B791-1DF9AF2DF0CB}"/>
    <cellStyle name="40% - Accent5 4 4 2" xfId="643" xr:uid="{535FA8FC-B2AE-490F-81B2-005C4D48D6D9}"/>
    <cellStyle name="40% - Accent5 4 4 3" xfId="644" xr:uid="{F10F8B3E-748D-4BDB-8A2B-A621CE719D15}"/>
    <cellStyle name="40% - Accent5 4 5" xfId="645" xr:uid="{F07A6501-B2C2-47DB-AB26-DB45234E099D}"/>
    <cellStyle name="40% - Accent5 4 6" xfId="646" xr:uid="{BDCA2743-3CEB-432E-8C7D-984A8EBD1350}"/>
    <cellStyle name="40% - Accent5 4 6 2" xfId="647" xr:uid="{E1EA5371-6DBB-49DF-9F1E-C23C5F4C12F1}"/>
    <cellStyle name="40% - Accent5 4 6 3" xfId="648" xr:uid="{4B571514-E0BC-43F3-A049-91023951A49C}"/>
    <cellStyle name="40% - Accent5 4 7" xfId="649" xr:uid="{94A5A6A4-1665-40AF-926E-D7C501CB1F3B}"/>
    <cellStyle name="40% - Accent5 4 8" xfId="650" xr:uid="{CADD6553-F94B-4B16-B840-67EBCF1E6508}"/>
    <cellStyle name="40% - Accent5 5" xfId="651" xr:uid="{B7770FEF-665D-4D82-BC44-468BC7D1E57C}"/>
    <cellStyle name="40% - Accent6 2" xfId="652" xr:uid="{31FB320A-E329-4C3E-9E6A-66F2DA959295}"/>
    <cellStyle name="40% - Accent6 2 2" xfId="653" xr:uid="{F69BF62C-59BC-4CFB-B67D-497A93EF0A0A}"/>
    <cellStyle name="40% - Accent6 2 3" xfId="654" xr:uid="{BD686F44-F90A-458A-8312-E991C164469F}"/>
    <cellStyle name="40% - Accent6 2 3 2" xfId="655" xr:uid="{3A932E0A-7301-4FFB-B976-8EF603A38495}"/>
    <cellStyle name="40% - Accent6 2 3 2 2" xfId="656" xr:uid="{7D694B6C-5073-48EB-B46A-5A9E44D251BF}"/>
    <cellStyle name="40% - Accent6 2 3 2 3" xfId="657" xr:uid="{AE0BFEE3-0050-45B6-9AFD-E335F058ADA9}"/>
    <cellStyle name="40% - Accent6 2 3 3" xfId="658" xr:uid="{E719ED8C-9FE6-4574-BFAC-6DF2063AF09E}"/>
    <cellStyle name="40% - Accent6 2 3 4" xfId="659" xr:uid="{F1440E58-440A-489F-9793-9060B5BC61E5}"/>
    <cellStyle name="40% - Accent6 2 4" xfId="660" xr:uid="{A86C0750-868C-41FC-BA42-3B4FD29C9DE3}"/>
    <cellStyle name="40% - Accent6 2 4 2" xfId="661" xr:uid="{C31E7560-8C0D-4FD0-A774-ADEE88332C33}"/>
    <cellStyle name="40% - Accent6 2 4 3" xfId="662" xr:uid="{4B5E9B0B-71D9-497F-A98A-457C462E0650}"/>
    <cellStyle name="40% - Accent6 2 5" xfId="663" xr:uid="{F11C5A71-B7E5-4818-96C9-9B2D182DCA64}"/>
    <cellStyle name="40% - Accent6 2 5 2" xfId="664" xr:uid="{C04B1653-EA42-4C5D-A9BC-3247660B301C}"/>
    <cellStyle name="40% - Accent6 2 5 3" xfId="665" xr:uid="{74966963-B41C-4AAA-8EB7-5BE4CE6C09D6}"/>
    <cellStyle name="40% - Accent6 2 6" xfId="666" xr:uid="{A0467136-A63D-4D02-ADD6-C2C1FC38C7FC}"/>
    <cellStyle name="40% - Accent6 2 7" xfId="667" xr:uid="{2AC23614-F844-4085-A8BB-50B02862F115}"/>
    <cellStyle name="40% - Accent6 2 7 2" xfId="668" xr:uid="{7DBF71C6-8E58-4F47-8DC9-EC3C914EAC5E}"/>
    <cellStyle name="40% - Accent6 2 7 3" xfId="669" xr:uid="{E06C814A-14F3-49B4-BE9B-461597ADFB27}"/>
    <cellStyle name="40% - Accent6 2 8" xfId="670" xr:uid="{357C03B8-B57C-4813-ACB7-16E37087DE37}"/>
    <cellStyle name="40% - Accent6 2 9" xfId="671" xr:uid="{28112BDB-738B-44D2-99D0-3A4CF06AA549}"/>
    <cellStyle name="40% - Accent6 3" xfId="672" xr:uid="{624564FA-B1B9-414C-B103-1DB81F55DBC5}"/>
    <cellStyle name="40% - Accent6 3 2" xfId="673" xr:uid="{60E73DD0-C471-4058-8865-B524C21726ED}"/>
    <cellStyle name="40% - Accent6 3 2 2" xfId="674" xr:uid="{C090C7AA-960F-4777-86CA-D9E14B9947BC}"/>
    <cellStyle name="40% - Accent6 3 2 2 2" xfId="675" xr:uid="{D397B9AE-907A-472E-93C8-C3A3A6D9E394}"/>
    <cellStyle name="40% - Accent6 3 2 2 3" xfId="676" xr:uid="{42A254A2-6671-4892-B077-8F0E54FDAD24}"/>
    <cellStyle name="40% - Accent6 3 2 3" xfId="677" xr:uid="{0AB7FF3E-17DC-4391-B3E5-67112BDBBEE3}"/>
    <cellStyle name="40% - Accent6 3 2 4" xfId="678" xr:uid="{95187EFA-295A-42A2-A09D-DD7043788E5A}"/>
    <cellStyle name="40% - Accent6 3 3" xfId="679" xr:uid="{F4EF2A16-73DA-4A29-86D5-751FE62A51D4}"/>
    <cellStyle name="40% - Accent6 3 3 2" xfId="680" xr:uid="{AADEB881-05C1-4841-A6CF-1D4A917AA48F}"/>
    <cellStyle name="40% - Accent6 3 3 3" xfId="681" xr:uid="{2E8B8F37-4C03-4A80-9906-3CB65AA0160C}"/>
    <cellStyle name="40% - Accent6 3 4" xfId="682" xr:uid="{E1757126-F731-4009-B7E9-3B99EA3D4CAD}"/>
    <cellStyle name="40% - Accent6 3 4 2" xfId="683" xr:uid="{4A9D53DA-4204-471C-8EFF-8FA404CCC69A}"/>
    <cellStyle name="40% - Accent6 3 4 3" xfId="684" xr:uid="{151F4123-2270-4D72-81EE-49184FCA010C}"/>
    <cellStyle name="40% - Accent6 3 5" xfId="685" xr:uid="{7C635BB0-6168-48CD-AD6E-7B713DDBBCB0}"/>
    <cellStyle name="40% - Accent6 3 6" xfId="686" xr:uid="{5E813575-74C1-44CD-9FCB-708F40C0641E}"/>
    <cellStyle name="40% - Accent6 3 6 2" xfId="687" xr:uid="{3C8D3CBF-5015-4176-9A95-E2557742F7BB}"/>
    <cellStyle name="40% - Accent6 3 6 3" xfId="688" xr:uid="{14BF0F4D-534F-4718-BD15-1E6ABA797229}"/>
    <cellStyle name="40% - Accent6 3 7" xfId="689" xr:uid="{6C3FF0BD-F8B0-4470-B5CC-611635EC5C11}"/>
    <cellStyle name="40% - Accent6 3 8" xfId="690" xr:uid="{2BE0B094-EEE8-43B6-9E62-D145FA24BF70}"/>
    <cellStyle name="40% - Accent6 4" xfId="691" xr:uid="{F7712A52-7C35-4A55-A545-871D3C8EC6FB}"/>
    <cellStyle name="40% - Accent6 4 2" xfId="692" xr:uid="{B4E403AC-7508-412B-B37D-6B0B5795BA65}"/>
    <cellStyle name="40% - Accent6 4 2 2" xfId="693" xr:uid="{BA8056E8-0756-4B86-8E18-2AE03D4B942E}"/>
    <cellStyle name="40% - Accent6 4 2 2 2" xfId="694" xr:uid="{4680887C-ABAB-4C4D-A7DA-340EF189509C}"/>
    <cellStyle name="40% - Accent6 4 2 2 3" xfId="695" xr:uid="{7CEC75BA-CBF4-43B3-837F-1B6A180A5935}"/>
    <cellStyle name="40% - Accent6 4 2 3" xfId="696" xr:uid="{B815EF8C-334E-418E-A77D-F090CFAF55F2}"/>
    <cellStyle name="40% - Accent6 4 2 4" xfId="697" xr:uid="{61BF1BCB-C00C-40BC-8DFE-2AA717980C0C}"/>
    <cellStyle name="40% - Accent6 4 3" xfId="698" xr:uid="{59FA67BF-61E9-4CCA-A190-F8C541F5B45A}"/>
    <cellStyle name="40% - Accent6 4 3 2" xfId="699" xr:uid="{BE5D1FB3-8194-4104-951B-C28CC36A07A0}"/>
    <cellStyle name="40% - Accent6 4 3 3" xfId="700" xr:uid="{B4E03823-430F-4647-8D3F-01BA60EA6C1D}"/>
    <cellStyle name="40% - Accent6 4 4" xfId="701" xr:uid="{3B6D2FA3-F042-4E28-A052-7CD54D12A20C}"/>
    <cellStyle name="40% - Accent6 4 4 2" xfId="702" xr:uid="{A19B5105-B158-46DB-85BB-E0034E93C90E}"/>
    <cellStyle name="40% - Accent6 4 4 3" xfId="703" xr:uid="{EF1A7582-25F6-432A-9DF2-7F97CC11BBFD}"/>
    <cellStyle name="40% - Accent6 4 5" xfId="704" xr:uid="{560C069B-776F-4BFE-9640-B38C3D2566E4}"/>
    <cellStyle name="40% - Accent6 4 6" xfId="705" xr:uid="{B0FCB37B-FB69-437C-B901-AE0F3BD9263F}"/>
    <cellStyle name="40% - Accent6 4 6 2" xfId="706" xr:uid="{DFC3FCD5-1D8F-4917-9689-E2FD314F0E16}"/>
    <cellStyle name="40% - Accent6 4 6 3" xfId="707" xr:uid="{F69AF952-52EC-4EFA-8E66-463C8D464E69}"/>
    <cellStyle name="40% - Accent6 4 7" xfId="708" xr:uid="{80BE3F74-9C63-4184-B415-0D216DDD9FC7}"/>
    <cellStyle name="40% - Accent6 4 8" xfId="709" xr:uid="{51D40F38-1705-4E2F-B212-6BB3210AF911}"/>
    <cellStyle name="40% - Accent6 5" xfId="710" xr:uid="{9041C53B-BDA5-4436-96A7-F62B67806AB6}"/>
    <cellStyle name="60% - Accent1 2" xfId="711" xr:uid="{E8A4B30C-8013-47CB-B0E8-387C189BE0D2}"/>
    <cellStyle name="60% - Accent1 2 2" xfId="712" xr:uid="{EDDCBC80-A45D-4942-8708-8A6E9EC5BDD6}"/>
    <cellStyle name="60% - Accent1 2 3" xfId="713" xr:uid="{4FB83568-C7C2-4179-8710-4741E3F6DF0A}"/>
    <cellStyle name="60% - Accent1 2 4" xfId="714" xr:uid="{7FF7CE7F-0669-47BB-9362-43AC938191B0}"/>
    <cellStyle name="60% - Accent1 2 5" xfId="715" xr:uid="{258270E5-0961-47B4-9849-A5E5FA098B86}"/>
    <cellStyle name="60% - Accent1 3" xfId="716" xr:uid="{5EE50BB0-D096-497D-93F6-149D2791BA7F}"/>
    <cellStyle name="60% - Accent1 4" xfId="717" xr:uid="{5B8B3B1B-396E-40B0-92A0-CB90AE3662BF}"/>
    <cellStyle name="60% - Accent1 5" xfId="718" xr:uid="{29E59B19-584C-4643-BF54-6439ABF40574}"/>
    <cellStyle name="60% - Accent2 2" xfId="719" xr:uid="{D3391123-E941-48D5-B794-10020ED8420A}"/>
    <cellStyle name="60% - Accent2 2 2" xfId="720" xr:uid="{CC5C7D4C-F7C2-4AB5-A243-7586D98CC24B}"/>
    <cellStyle name="60% - Accent2 2 3" xfId="721" xr:uid="{77348F76-0510-4191-A209-E98B7B7FE6E1}"/>
    <cellStyle name="60% - Accent2 2 4" xfId="722" xr:uid="{DB212BB5-FD00-4070-ABD7-93034600B6CB}"/>
    <cellStyle name="60% - Accent2 2 5" xfId="723" xr:uid="{07C67697-A42A-464B-9C6B-D50BBA54F163}"/>
    <cellStyle name="60% - Accent2 3" xfId="724" xr:uid="{F3A7BB81-0A5B-42C5-8E78-87489F845061}"/>
    <cellStyle name="60% - Accent2 4" xfId="725" xr:uid="{883D1549-BF4B-4189-B57A-38FA5B16EB5D}"/>
    <cellStyle name="60% - Accent2 5" xfId="726" xr:uid="{C5F96A75-8B79-4EF9-9DC9-81AD9B0345BC}"/>
    <cellStyle name="60% - Accent3 2" xfId="727" xr:uid="{5E63B711-5D7F-46AA-B2CE-86D44B3690AF}"/>
    <cellStyle name="60% - Accent3 2 2" xfId="728" xr:uid="{86AE4B2D-94BC-427C-BAF5-273B04003119}"/>
    <cellStyle name="60% - Accent3 2 3" xfId="729" xr:uid="{7B7CDD49-0862-4D3D-BB20-575D862E9AB5}"/>
    <cellStyle name="60% - Accent3 2 4" xfId="730" xr:uid="{515E4F54-9733-4DD3-A8D8-6B34214594AA}"/>
    <cellStyle name="60% - Accent3 2 5" xfId="731" xr:uid="{0772E178-F704-4FD1-9E7F-8CAF1C412A30}"/>
    <cellStyle name="60% - Accent3 3" xfId="732" xr:uid="{34668DB2-1552-4285-A7B0-98FD548325DE}"/>
    <cellStyle name="60% - Accent3 4" xfId="733" xr:uid="{D4EAD874-B3E0-4824-BADE-8BD82245D954}"/>
    <cellStyle name="60% - Accent3 5" xfId="734" xr:uid="{0D35CDAA-81DD-4227-8ABE-4409BF8A186A}"/>
    <cellStyle name="60% - Accent4 2" xfId="735" xr:uid="{AAC188CB-EB21-4FEE-AC94-E5CC8D125B1F}"/>
    <cellStyle name="60% - Accent4 2 2" xfId="736" xr:uid="{74366E2A-6371-4AA2-9FEC-227D56515FE1}"/>
    <cellStyle name="60% - Accent4 2 3" xfId="737" xr:uid="{A097216E-D4DC-41F2-918E-613A54EE8B67}"/>
    <cellStyle name="60% - Accent4 2 4" xfId="738" xr:uid="{C82F1A3C-F1FC-4E9E-B22D-B0DE0EB968F0}"/>
    <cellStyle name="60% - Accent4 2 5" xfId="739" xr:uid="{DE7A205F-23B9-4478-925E-0D317F7C388D}"/>
    <cellStyle name="60% - Accent4 3" xfId="740" xr:uid="{3531FDBC-B9F5-4AED-88DA-D4EC65065AFE}"/>
    <cellStyle name="60% - Accent4 4" xfId="741" xr:uid="{4E3DA13F-B2F9-4A39-BCB8-9D675681686E}"/>
    <cellStyle name="60% - Accent4 5" xfId="742" xr:uid="{5AB5AFCF-CD23-4FF2-8770-5FBF4779418F}"/>
    <cellStyle name="60% - Accent5 2" xfId="743" xr:uid="{EE8B93AC-172D-4362-AB2F-F0F1FA724C93}"/>
    <cellStyle name="60% - Accent5 2 2" xfId="744" xr:uid="{315AF208-2097-4AF3-9EFA-B67F388BB3A0}"/>
    <cellStyle name="60% - Accent5 2 3" xfId="745" xr:uid="{EBA8AE64-A2B0-45A6-9250-8A18A84416A3}"/>
    <cellStyle name="60% - Accent5 2 4" xfId="746" xr:uid="{EAB56F35-F2FE-430A-BA45-4B856D2F2695}"/>
    <cellStyle name="60% - Accent5 2 5" xfId="747" xr:uid="{F607FEB0-F220-4FE2-A26E-DEBB44FBBCC4}"/>
    <cellStyle name="60% - Accent5 3" xfId="748" xr:uid="{BA51ECB3-8D67-4E59-802D-9E9FFE50C9CE}"/>
    <cellStyle name="60% - Accent5 4" xfId="749" xr:uid="{99C2844F-DBB8-4A2C-BBF5-0374160EF258}"/>
    <cellStyle name="60% - Accent5 5" xfId="750" xr:uid="{E674ADA3-3698-4626-9BEF-EBC90F95B80C}"/>
    <cellStyle name="60% - Accent6 2" xfId="751" xr:uid="{F3489282-33B4-458B-B5EC-52A0F8D7BF02}"/>
    <cellStyle name="60% - Accent6 2 2" xfId="752" xr:uid="{98DD3950-1581-4AC7-A4A4-F8630F0DCBA6}"/>
    <cellStyle name="60% - Accent6 2 3" xfId="753" xr:uid="{F911DDA4-18C6-40D2-A3CE-CBBD6E3B7272}"/>
    <cellStyle name="60% - Accent6 2 4" xfId="754" xr:uid="{C5983450-93C9-4165-AF95-30FB11346FB2}"/>
    <cellStyle name="60% - Accent6 2 5" xfId="755" xr:uid="{B82CF046-EE59-4C17-8062-F9A6C6CBCA9F}"/>
    <cellStyle name="60% - Accent6 3" xfId="756" xr:uid="{E8B18AE2-1EA0-4FD7-930F-49B7E4143026}"/>
    <cellStyle name="60% - Accent6 4" xfId="757" xr:uid="{340C96E1-8997-49A7-9D05-3AEE3E2E1CF1}"/>
    <cellStyle name="60% - Accent6 5" xfId="758" xr:uid="{181EA94B-497E-4B6C-8056-E0D2FAB9AD4E}"/>
    <cellStyle name="Accent1 - 20%" xfId="759" xr:uid="{FEB48BD0-32BC-461E-9D43-95EC0E30D4EE}"/>
    <cellStyle name="Accent1 - 20% 2" xfId="760" xr:uid="{F138C46F-E1F5-4153-9858-59D18CED8523}"/>
    <cellStyle name="Accent1 - 20% 2 2" xfId="761" xr:uid="{3A9C4D72-0F52-4BA1-9E7D-C8EB75C850F8}"/>
    <cellStyle name="Accent1 - 20% 2 2 2" xfId="762" xr:uid="{6981F187-C6B1-47CB-83FE-8FD5A800AAAA}"/>
    <cellStyle name="Accent1 - 20% 2 2 3" xfId="763" xr:uid="{4239353C-0AEE-45DF-8BF8-7249E6312CE1}"/>
    <cellStyle name="Accent1 - 20% 2 3" xfId="764" xr:uid="{15468632-3E7F-4C65-96FA-06D2ED7E1845}"/>
    <cellStyle name="Accent1 - 20% 2 4" xfId="765" xr:uid="{A65F61E6-783D-47F8-B68D-5E41F623BCB3}"/>
    <cellStyle name="Accent1 - 20% 3" xfId="766" xr:uid="{F09F0F75-9283-487C-9718-D9C647B36A16}"/>
    <cellStyle name="Accent1 - 20% 3 2" xfId="767" xr:uid="{A3C5EFD2-F4C9-482E-966C-81FEF74CEBF3}"/>
    <cellStyle name="Accent1 - 20% 3 3" xfId="768" xr:uid="{A3EDE026-97EB-49ED-8FB9-99681BAAAD41}"/>
    <cellStyle name="Accent1 - 20% 4" xfId="769" xr:uid="{D38832D9-9FF8-49D6-B783-E090E33A6236}"/>
    <cellStyle name="Accent1 - 20% 5" xfId="770" xr:uid="{D68BDBDB-7CFB-41C8-A220-28C7049DD24C}"/>
    <cellStyle name="Accent1 - 40%" xfId="771" xr:uid="{0637B62B-6A30-4251-BB57-D0E851153E63}"/>
    <cellStyle name="Accent1 - 40% 2" xfId="772" xr:uid="{D4C26AF4-8FE5-4F3B-BC81-CE88912C11FA}"/>
    <cellStyle name="Accent1 - 40% 2 2" xfId="773" xr:uid="{ADEA64FA-8302-45C7-9A53-52D486A25ACA}"/>
    <cellStyle name="Accent1 - 40% 2 2 2" xfId="774" xr:uid="{9269DF00-53ED-4DE2-BAE7-04EF90659D85}"/>
    <cellStyle name="Accent1 - 40% 2 2 3" xfId="775" xr:uid="{2B792FBC-3BB0-4EDB-B369-AE12891DC8E0}"/>
    <cellStyle name="Accent1 - 40% 2 3" xfId="776" xr:uid="{B1B58662-FE69-4379-822B-D9F7DC60B421}"/>
    <cellStyle name="Accent1 - 40% 2 4" xfId="777" xr:uid="{948219BF-3204-4443-AEE6-8F118909BE2D}"/>
    <cellStyle name="Accent1 - 40% 3" xfId="778" xr:uid="{C79FE317-F7D3-4FB3-80C8-FCB5A8A23D4E}"/>
    <cellStyle name="Accent1 - 40% 3 2" xfId="779" xr:uid="{A9583B82-291B-4AA7-9FDB-BF46687F7BA8}"/>
    <cellStyle name="Accent1 - 40% 3 3" xfId="780" xr:uid="{5B411E1B-50D9-47C4-93F4-25B37BEA4525}"/>
    <cellStyle name="Accent1 - 40% 4" xfId="781" xr:uid="{D6ECB1D1-E5FA-4897-AA65-21C549908AC7}"/>
    <cellStyle name="Accent1 - 40% 5" xfId="782" xr:uid="{7B8D215D-2B1D-4E4C-BC56-12EC5D5D7A16}"/>
    <cellStyle name="Accent1 - 60%" xfId="783" xr:uid="{26397385-5B4D-4013-9CC2-8BE9B6FA3D1C}"/>
    <cellStyle name="Accent1 2" xfId="784" xr:uid="{AA3DF62A-BFE7-466C-A626-AFD88A87EEAB}"/>
    <cellStyle name="Accent1 2 2" xfId="785" xr:uid="{7FAD7765-09CD-48D8-80E9-E0BAC244771E}"/>
    <cellStyle name="Accent1 2 3" xfId="786" xr:uid="{1535401A-F979-4AF2-91B5-68B5FD037231}"/>
    <cellStyle name="Accent1 2 4" xfId="787" xr:uid="{CBCFB3F2-5380-43B2-A886-DB35B333D3B0}"/>
    <cellStyle name="Accent1 2 5" xfId="788" xr:uid="{8D2404C6-660C-4586-90B4-689DE0EC4A83}"/>
    <cellStyle name="Accent1 3" xfId="789" xr:uid="{C20CCD13-F3F4-4BDA-B70D-BEDEB7A4F941}"/>
    <cellStyle name="Accent1 4" xfId="790" xr:uid="{46303C00-8845-42E2-AF55-2AE328AD0C7F}"/>
    <cellStyle name="Accent1 5" xfId="791" xr:uid="{A0C122A9-915A-4648-A12C-F81F0D7853AB}"/>
    <cellStyle name="Accent2 - 20%" xfId="792" xr:uid="{06B25679-6396-46CD-B4C4-872037E45D93}"/>
    <cellStyle name="Accent2 - 20% 2" xfId="793" xr:uid="{3B3844A2-9A8A-47D6-9C58-ADDAB8D1CDA0}"/>
    <cellStyle name="Accent2 - 20% 2 2" xfId="794" xr:uid="{E992B245-752F-49A1-BAC5-E943567144B0}"/>
    <cellStyle name="Accent2 - 20% 2 2 2" xfId="795" xr:uid="{ED7D0DB5-3286-44D1-8416-D03268A80E01}"/>
    <cellStyle name="Accent2 - 20% 2 2 3" xfId="796" xr:uid="{A038E775-C476-4311-800C-9E3E4C855C4C}"/>
    <cellStyle name="Accent2 - 20% 2 3" xfId="797" xr:uid="{E7BE5FB4-C0AF-4856-A324-3A7B554B47F5}"/>
    <cellStyle name="Accent2 - 20% 2 4" xfId="798" xr:uid="{087F03AD-33C0-4FC1-8FA0-D650FCF99CE6}"/>
    <cellStyle name="Accent2 - 20% 3" xfId="799" xr:uid="{8E864C17-5B96-43FF-A50E-84D08A4ABC7C}"/>
    <cellStyle name="Accent2 - 20% 3 2" xfId="800" xr:uid="{5AF318B4-991C-480A-8B9F-FE89FDC3B45D}"/>
    <cellStyle name="Accent2 - 20% 3 3" xfId="801" xr:uid="{908AD146-5581-4A02-922B-77F3CE335763}"/>
    <cellStyle name="Accent2 - 20% 4" xfId="802" xr:uid="{E43895F4-867F-4E75-89F3-A5238854F92A}"/>
    <cellStyle name="Accent2 - 20% 5" xfId="803" xr:uid="{7EA3C7BC-6C29-42F9-8CEA-0FF935E47A04}"/>
    <cellStyle name="Accent2 - 40%" xfId="804" xr:uid="{9DCA8729-E185-449D-BD72-82ACDCD95C42}"/>
    <cellStyle name="Accent2 - 40% 2" xfId="805" xr:uid="{6EEE66FF-0848-4CE0-B5E8-AB24A7E65A1A}"/>
    <cellStyle name="Accent2 - 40% 2 2" xfId="806" xr:uid="{CC6A3141-0B5A-41D9-905F-EA919219009A}"/>
    <cellStyle name="Accent2 - 40% 2 2 2" xfId="807" xr:uid="{6A929A87-8327-4F98-BEE8-672420BF2362}"/>
    <cellStyle name="Accent2 - 40% 2 2 3" xfId="808" xr:uid="{480F8E40-2596-4505-9376-378524BA01FF}"/>
    <cellStyle name="Accent2 - 40% 2 3" xfId="809" xr:uid="{3EE5BDC2-77CC-46B6-98A5-D6D54FEB7157}"/>
    <cellStyle name="Accent2 - 40% 2 4" xfId="810" xr:uid="{2885EA74-8049-4D79-878B-C38E490DC562}"/>
    <cellStyle name="Accent2 - 40% 3" xfId="811" xr:uid="{AE0D3930-4429-4F83-842F-414C80F98BE4}"/>
    <cellStyle name="Accent2 - 40% 3 2" xfId="812" xr:uid="{53A9897B-A677-4803-A0F5-74EC45FBD6E2}"/>
    <cellStyle name="Accent2 - 40% 3 3" xfId="813" xr:uid="{5A3F82CA-D4FF-4440-BABE-19518A2E476C}"/>
    <cellStyle name="Accent2 - 40% 4" xfId="814" xr:uid="{4A430FB8-4551-4C01-BA7D-2AB44B07ED13}"/>
    <cellStyle name="Accent2 - 40% 5" xfId="815" xr:uid="{117177A3-0E20-4759-99B8-D8AFC30EACE3}"/>
    <cellStyle name="Accent2 - 60%" xfId="816" xr:uid="{3604B8C2-B42D-44BE-A95C-B16A8BBEBBE5}"/>
    <cellStyle name="Accent2 2" xfId="817" xr:uid="{9DDE7DEE-1494-4355-9E34-B079F7B302BF}"/>
    <cellStyle name="Accent2 2 2" xfId="818" xr:uid="{BD6E1AA0-9853-4092-95B4-2FFAC579A132}"/>
    <cellStyle name="Accent2 2 3" xfId="819" xr:uid="{70EECDE9-364B-4DF2-BC54-141F0CF4C5B6}"/>
    <cellStyle name="Accent2 2 4" xfId="820" xr:uid="{541B225F-858A-43FC-8F32-6F6B08BFBEAB}"/>
    <cellStyle name="Accent2 2 5" xfId="821" xr:uid="{A2E9FE6D-0B33-441F-BDEC-D8C50C451774}"/>
    <cellStyle name="Accent2 3" xfId="822" xr:uid="{2A45817E-F65C-470B-B34A-013500136E69}"/>
    <cellStyle name="Accent2 4" xfId="823" xr:uid="{B9EF6250-D3A6-4037-872E-93960E339483}"/>
    <cellStyle name="Accent2 5" xfId="824" xr:uid="{9C83D169-3427-470F-B75C-C9730A66FABA}"/>
    <cellStyle name="Accent3 - 20%" xfId="825" xr:uid="{063ABBD4-E3AA-41D6-8172-0D4E9B18C407}"/>
    <cellStyle name="Accent3 - 20% 2" xfId="826" xr:uid="{F5411429-1A9B-48CE-9019-11DFAF3D0D0E}"/>
    <cellStyle name="Accent3 - 20% 2 2" xfId="827" xr:uid="{23A5D9BC-83CE-4F1E-8716-1BC206E366C2}"/>
    <cellStyle name="Accent3 - 20% 2 2 2" xfId="828" xr:uid="{F64E0FA6-7781-46E0-AA94-4B09CA29EB9F}"/>
    <cellStyle name="Accent3 - 20% 2 2 3" xfId="829" xr:uid="{E03D35CA-60C3-404F-8C5D-249422890421}"/>
    <cellStyle name="Accent3 - 20% 2 3" xfId="830" xr:uid="{D4DEA836-7F55-4430-AD62-516EB0E22A5B}"/>
    <cellStyle name="Accent3 - 20% 2 4" xfId="831" xr:uid="{B2D96868-3DE4-4979-9AEE-60ECC48C5A2D}"/>
    <cellStyle name="Accent3 - 20% 3" xfId="832" xr:uid="{5D8B4728-CA0A-4A1E-ACCA-9AFD0E0F016E}"/>
    <cellStyle name="Accent3 - 20% 3 2" xfId="833" xr:uid="{A13FC2BD-AA4D-4AC3-AC4F-E53D5DF8A3FF}"/>
    <cellStyle name="Accent3 - 20% 3 3" xfId="834" xr:uid="{8AC037A4-00B8-4927-8A55-1C4738F255EF}"/>
    <cellStyle name="Accent3 - 20% 4" xfId="835" xr:uid="{C543A6D1-91F6-495F-BD05-2E1268425785}"/>
    <cellStyle name="Accent3 - 20% 5" xfId="836" xr:uid="{080C23C9-BACE-4070-A163-F0977256963B}"/>
    <cellStyle name="Accent3 - 40%" xfId="837" xr:uid="{2FD63104-A336-401B-B7EF-F586196408C6}"/>
    <cellStyle name="Accent3 - 40% 2" xfId="838" xr:uid="{14B2C92E-DCA1-4D29-82E9-DA248349155A}"/>
    <cellStyle name="Accent3 - 40% 2 2" xfId="839" xr:uid="{410F40E8-EFBF-46EB-9F13-E0B801655B76}"/>
    <cellStyle name="Accent3 - 40% 2 2 2" xfId="840" xr:uid="{830F0CC6-10BC-46F1-8F02-8C59F247A180}"/>
    <cellStyle name="Accent3 - 40% 2 2 3" xfId="841" xr:uid="{2ED478A5-0E44-4CFD-8C1C-8AECD44274D5}"/>
    <cellStyle name="Accent3 - 40% 2 3" xfId="842" xr:uid="{4D98819D-B23F-4C06-B2F0-8E882089ABEF}"/>
    <cellStyle name="Accent3 - 40% 2 4" xfId="843" xr:uid="{AFA4E560-9AAB-446E-AF93-46393F5DAB9A}"/>
    <cellStyle name="Accent3 - 40% 3" xfId="844" xr:uid="{F660A2B8-B995-451E-B65F-7FADABA87E9A}"/>
    <cellStyle name="Accent3 - 40% 3 2" xfId="845" xr:uid="{C6CE2FE6-6F0C-487D-B259-797200AD72C2}"/>
    <cellStyle name="Accent3 - 40% 3 3" xfId="846" xr:uid="{E554DE3D-764F-49B8-BE94-8457B0287887}"/>
    <cellStyle name="Accent3 - 40% 4" xfId="847" xr:uid="{C8312A6A-0CCE-481C-B751-58B9E1BB6476}"/>
    <cellStyle name="Accent3 - 40% 5" xfId="848" xr:uid="{E9ED5E58-3F16-411B-857F-6A32918AF4D4}"/>
    <cellStyle name="Accent3 - 60%" xfId="849" xr:uid="{AFAED5DD-1514-4114-93C1-5ABB775896E2}"/>
    <cellStyle name="Accent3 2" xfId="850" xr:uid="{09E01FD2-88C3-4AFD-B43F-AF33F92AE251}"/>
    <cellStyle name="Accent3 2 2" xfId="851" xr:uid="{5CCBC982-8491-427F-B8A7-E18F74F145C0}"/>
    <cellStyle name="Accent3 2 3" xfId="852" xr:uid="{E5DA07EC-842B-4F65-B2DD-B58B9CD7103E}"/>
    <cellStyle name="Accent3 2 4" xfId="853" xr:uid="{539B84F9-BE73-4028-8CF3-5D4AB91D792B}"/>
    <cellStyle name="Accent3 2 5" xfId="854" xr:uid="{C7B5E21C-0D45-4D66-9956-472602424A98}"/>
    <cellStyle name="Accent3 3" xfId="855" xr:uid="{45308559-9254-4378-8133-BC01229B7C1E}"/>
    <cellStyle name="Accent3 4" xfId="856" xr:uid="{0B528941-0FA9-4123-867B-9AA0C68261D5}"/>
    <cellStyle name="Accent3 5" xfId="857" xr:uid="{D5D02B96-6F3B-4B58-9EA1-FD611DCD05C9}"/>
    <cellStyle name="Accent4 - 20%" xfId="858" xr:uid="{544B5290-33EF-44E5-AF58-FB69B7323259}"/>
    <cellStyle name="Accent4 - 20% 2" xfId="859" xr:uid="{686F95C5-3961-40B7-990C-68A64865413D}"/>
    <cellStyle name="Accent4 - 20% 2 2" xfId="860" xr:uid="{5EE70C17-27AF-4B57-81CC-730BD592A80C}"/>
    <cellStyle name="Accent4 - 20% 2 2 2" xfId="861" xr:uid="{E2ECDBFA-E22B-4D56-8F21-BC2F17845FFE}"/>
    <cellStyle name="Accent4 - 20% 2 2 3" xfId="862" xr:uid="{C1998C9B-3C17-49F0-9208-189E5D0B5495}"/>
    <cellStyle name="Accent4 - 20% 2 3" xfId="863" xr:uid="{323C5473-76CC-418F-9263-0C11822DE2F5}"/>
    <cellStyle name="Accent4 - 20% 2 4" xfId="864" xr:uid="{70067797-ECA7-438A-B94E-8F9A4D253FF8}"/>
    <cellStyle name="Accent4 - 20% 3" xfId="865" xr:uid="{B512EFDE-6CCC-466A-8F44-E26A61444C1E}"/>
    <cellStyle name="Accent4 - 20% 3 2" xfId="866" xr:uid="{9AB60049-281A-4EC3-9838-6C697C6C7108}"/>
    <cellStyle name="Accent4 - 20% 3 3" xfId="867" xr:uid="{4B6D90F2-1281-4BE1-A3A0-5F1CD8AA3ABA}"/>
    <cellStyle name="Accent4 - 20% 4" xfId="868" xr:uid="{0DDD752B-1CE0-4EF4-B33E-466F74766A4C}"/>
    <cellStyle name="Accent4 - 20% 5" xfId="869" xr:uid="{8806DAB4-BD8B-44A2-AE48-98FCA03FBE91}"/>
    <cellStyle name="Accent4 - 40%" xfId="870" xr:uid="{4EFCBAED-40F3-470B-975D-37B93FDC21B1}"/>
    <cellStyle name="Accent4 - 40% 2" xfId="871" xr:uid="{BF477823-1ED7-4C1F-9B47-0BF7B396CFA7}"/>
    <cellStyle name="Accent4 - 40% 2 2" xfId="872" xr:uid="{D195AC27-10BE-4CFE-B40B-DAB17A2375A1}"/>
    <cellStyle name="Accent4 - 40% 2 2 2" xfId="873" xr:uid="{D88D1D24-BB2A-49BF-BEC5-EEADC7695FD5}"/>
    <cellStyle name="Accent4 - 40% 2 2 3" xfId="874" xr:uid="{4830056B-F6CB-44CA-BBF6-20744570D516}"/>
    <cellStyle name="Accent4 - 40% 2 3" xfId="875" xr:uid="{F9CB434C-09D3-4A2B-AD1E-3AD1DFCF99B1}"/>
    <cellStyle name="Accent4 - 40% 2 4" xfId="876" xr:uid="{C3B024B4-D639-4FB9-9FC9-16F467A9A530}"/>
    <cellStyle name="Accent4 - 40% 3" xfId="877" xr:uid="{32BE8723-5744-4DA9-8C9B-1A86C22808D3}"/>
    <cellStyle name="Accent4 - 40% 3 2" xfId="878" xr:uid="{8CA02BE0-DD58-476F-B692-35F47BA73ED3}"/>
    <cellStyle name="Accent4 - 40% 3 3" xfId="879" xr:uid="{B1360368-D5E5-4269-97BE-9CAB97618F74}"/>
    <cellStyle name="Accent4 - 40% 4" xfId="880" xr:uid="{6A62E325-0E0B-4203-A012-E17551C6775D}"/>
    <cellStyle name="Accent4 - 40% 5" xfId="881" xr:uid="{90898A6A-98FA-4581-8CAF-EE048B5CCD41}"/>
    <cellStyle name="Accent4 - 60%" xfId="882" xr:uid="{BE40191E-5426-4A96-BA82-FDC213E22629}"/>
    <cellStyle name="Accent4 2" xfId="883" xr:uid="{788C39F1-A956-4DC8-90A3-867047079A51}"/>
    <cellStyle name="Accent4 2 2" xfId="884" xr:uid="{6EB0EE48-15B0-45C3-958C-25FBB1E3962B}"/>
    <cellStyle name="Accent4 2 3" xfId="885" xr:uid="{811BA5AC-908D-4ABB-AA74-CE7B1A4EB3DD}"/>
    <cellStyle name="Accent4 2 4" xfId="886" xr:uid="{E9E64DF9-3045-41AE-B419-6C9DFE3FD421}"/>
    <cellStyle name="Accent4 2 5" xfId="887" xr:uid="{FEF19B71-B944-4FFF-8FF2-A79BA32AD6FB}"/>
    <cellStyle name="Accent4 3" xfId="888" xr:uid="{9EF6F360-FAA7-4121-9D4F-5915F1263DB5}"/>
    <cellStyle name="Accent4 4" xfId="889" xr:uid="{06134106-31F1-426E-AC2E-F06D43A557DF}"/>
    <cellStyle name="Accent4 5" xfId="890" xr:uid="{01EC9B41-562E-414F-816B-3B3FCAA5B226}"/>
    <cellStyle name="Accent5 - 20%" xfId="891" xr:uid="{2172E723-7327-4C52-8735-A1B75BC379E3}"/>
    <cellStyle name="Accent5 - 20% 2" xfId="892" xr:uid="{0BF83721-7A8D-498B-B5CE-EE48A52C8944}"/>
    <cellStyle name="Accent5 - 20% 2 2" xfId="893" xr:uid="{DA926D0E-90DC-4C00-B426-E2AF222F8285}"/>
    <cellStyle name="Accent5 - 20% 2 2 2" xfId="894" xr:uid="{0AB6AFC1-80FA-4D6E-BC3F-1BC551977D6B}"/>
    <cellStyle name="Accent5 - 20% 2 2 3" xfId="895" xr:uid="{F71FEE7C-1263-4737-8393-F7BF9D319DAE}"/>
    <cellStyle name="Accent5 - 20% 2 3" xfId="896" xr:uid="{A9D5C2D3-D3F9-4C3E-BE74-64FA1F9D24FF}"/>
    <cellStyle name="Accent5 - 20% 2 4" xfId="897" xr:uid="{D55A3C72-7BA3-43B4-B5B7-3A29EC5ED0B5}"/>
    <cellStyle name="Accent5 - 20% 3" xfId="898" xr:uid="{87B11846-8069-4AC1-AFC1-DA6EA4A6034E}"/>
    <cellStyle name="Accent5 - 20% 3 2" xfId="899" xr:uid="{661A6872-2B47-40C9-8163-D72E77A35EBE}"/>
    <cellStyle name="Accent5 - 20% 3 3" xfId="900" xr:uid="{C0297E19-5AB1-4F98-872C-92B518DD7450}"/>
    <cellStyle name="Accent5 - 20% 4" xfId="901" xr:uid="{D1D466A9-C641-4572-B103-37814C2B2D6B}"/>
    <cellStyle name="Accent5 - 20% 5" xfId="902" xr:uid="{34C2FE73-AA06-44C7-9ED8-2FBC0EF8F1CE}"/>
    <cellStyle name="Accent5 - 40%" xfId="903" xr:uid="{E8961298-6FDD-4DCD-B170-E174BC6C2E65}"/>
    <cellStyle name="Accent5 - 40% 2" xfId="904" xr:uid="{6295ED14-F49B-4367-83DE-F5E9256DB80A}"/>
    <cellStyle name="Accent5 - 40% 2 2" xfId="905" xr:uid="{D8FA257B-A186-4970-99C7-CDAC54F25282}"/>
    <cellStyle name="Accent5 - 40% 2 2 2" xfId="906" xr:uid="{CAAEB578-5F94-4705-A6CA-9B4B008334F1}"/>
    <cellStyle name="Accent5 - 40% 2 2 3" xfId="907" xr:uid="{5CB4131D-1389-41AF-B76C-4D20E4686B27}"/>
    <cellStyle name="Accent5 - 40% 2 3" xfId="908" xr:uid="{2B4B71B3-6380-4B9E-928F-569527651580}"/>
    <cellStyle name="Accent5 - 40% 2 4" xfId="909" xr:uid="{89A5A8A9-FAC9-4D84-84FD-A6921482579E}"/>
    <cellStyle name="Accent5 - 40% 3" xfId="910" xr:uid="{85166778-31B5-4C15-AC91-1B1B5E4D4388}"/>
    <cellStyle name="Accent5 - 40% 3 2" xfId="911" xr:uid="{7E28B40A-624D-4724-873B-46492B339128}"/>
    <cellStyle name="Accent5 - 40% 3 3" xfId="912" xr:uid="{883B806B-8CA6-41F2-8BEC-F503E409822C}"/>
    <cellStyle name="Accent5 - 40% 4" xfId="913" xr:uid="{F04A42A0-2B13-48E5-823B-BA53B44AC236}"/>
    <cellStyle name="Accent5 - 40% 5" xfId="914" xr:uid="{BFBE75F6-010C-4F42-A681-36BB71D13AB9}"/>
    <cellStyle name="Accent5 - 60%" xfId="915" xr:uid="{AD382A7D-470B-4B0C-A8A5-3FFB057F98ED}"/>
    <cellStyle name="Accent5 2" xfId="916" xr:uid="{AAFC4CA1-5B77-4372-8175-51850BC41774}"/>
    <cellStyle name="Accent5 2 2" xfId="917" xr:uid="{8AE71629-BE8C-4554-A957-8F47C2BE2215}"/>
    <cellStyle name="Accent5 2 3" xfId="918" xr:uid="{CA656692-49CB-4BFD-BA1D-8A96BE7BC28A}"/>
    <cellStyle name="Accent5 2 4" xfId="919" xr:uid="{4B2DD8A4-2278-4039-95A5-897BB62C378E}"/>
    <cellStyle name="Accent5 2 5" xfId="920" xr:uid="{37128F0D-A9F2-42D3-90D7-6DDE3F892A7C}"/>
    <cellStyle name="Accent5 3" xfId="921" xr:uid="{55FAB0D7-E9D9-459D-9B16-DC4FAC034E73}"/>
    <cellStyle name="Accent5 4" xfId="922" xr:uid="{D80C3A82-688C-4CEC-ADB3-E57E1935EEC3}"/>
    <cellStyle name="Accent5 5" xfId="923" xr:uid="{C080A54D-9F7C-44BE-8376-899EDD655392}"/>
    <cellStyle name="Accent6 - 20%" xfId="924" xr:uid="{60819ECF-FC41-4401-85B6-6D50D07B734B}"/>
    <cellStyle name="Accent6 - 20% 2" xfId="925" xr:uid="{C1C24EA9-B726-46B2-8641-53E30111E513}"/>
    <cellStyle name="Accent6 - 20% 2 2" xfId="926" xr:uid="{951BD6B0-603F-449B-AD45-BAC19ACB2A3B}"/>
    <cellStyle name="Accent6 - 20% 2 2 2" xfId="927" xr:uid="{79BB7DD3-CE1B-4D3B-A9AF-E76EC08A1056}"/>
    <cellStyle name="Accent6 - 20% 2 2 3" xfId="928" xr:uid="{AF5D1B50-2EFE-4978-B4EF-06D19A7BB811}"/>
    <cellStyle name="Accent6 - 20% 2 3" xfId="929" xr:uid="{D8AC9B05-F4E4-4C09-98A1-334AC85ADC98}"/>
    <cellStyle name="Accent6 - 20% 2 4" xfId="930" xr:uid="{B7132391-182B-4D69-8E7F-87959832D401}"/>
    <cellStyle name="Accent6 - 20% 3" xfId="931" xr:uid="{2327DF17-588B-4182-A9FB-7D450A48695D}"/>
    <cellStyle name="Accent6 - 20% 3 2" xfId="932" xr:uid="{F1052A4A-77FE-4440-AAF3-9068A5431476}"/>
    <cellStyle name="Accent6 - 20% 3 3" xfId="933" xr:uid="{0C3EBAE9-6330-4484-9DEF-558DCD95E7F7}"/>
    <cellStyle name="Accent6 - 20% 4" xfId="934" xr:uid="{1B969701-BD0D-4DCA-98E0-E435CFA3EC1F}"/>
    <cellStyle name="Accent6 - 20% 5" xfId="935" xr:uid="{5D0E1700-6EF2-4E53-AFC1-083C5401811B}"/>
    <cellStyle name="Accent6 - 40%" xfId="936" xr:uid="{A6F85209-91E3-47BC-8260-473B313439AB}"/>
    <cellStyle name="Accent6 - 40% 2" xfId="937" xr:uid="{C1CE6870-705F-41B2-B74F-1B158F2E6617}"/>
    <cellStyle name="Accent6 - 40% 2 2" xfId="938" xr:uid="{C4D2DAB6-630A-49CC-8287-AA8C6A5D7187}"/>
    <cellStyle name="Accent6 - 40% 2 2 2" xfId="939" xr:uid="{71317FC3-EFEE-4383-8F43-87F32A2CE3C2}"/>
    <cellStyle name="Accent6 - 40% 2 2 3" xfId="940" xr:uid="{0C64AAB9-82AB-40BD-B512-1D5AB39ED130}"/>
    <cellStyle name="Accent6 - 40% 2 3" xfId="941" xr:uid="{13C1192A-2213-48E1-86A6-68CCE77A7618}"/>
    <cellStyle name="Accent6 - 40% 2 4" xfId="942" xr:uid="{BA5C65AB-4859-49DF-AA4B-26B393F7DD41}"/>
    <cellStyle name="Accent6 - 40% 3" xfId="943" xr:uid="{ADBC16BA-61FB-4452-ACA8-1E744A29BCF4}"/>
    <cellStyle name="Accent6 - 40% 3 2" xfId="944" xr:uid="{87E5C8E6-A9AE-4684-B316-E4913588D727}"/>
    <cellStyle name="Accent6 - 40% 3 3" xfId="945" xr:uid="{C58B764F-F6CB-4B8A-A345-5262E010FDAE}"/>
    <cellStyle name="Accent6 - 40% 4" xfId="946" xr:uid="{DAB635C0-9778-4612-9D2C-E7838DEF1E22}"/>
    <cellStyle name="Accent6 - 40% 5" xfId="947" xr:uid="{177E1BB2-40F3-4859-AB5C-CF734AE1FFD8}"/>
    <cellStyle name="Accent6 - 60%" xfId="948" xr:uid="{72BC3205-67F5-48F9-A279-73CB74606E79}"/>
    <cellStyle name="Accent6 2" xfId="949" xr:uid="{5E61D6A6-8924-491F-B34F-424381BFC251}"/>
    <cellStyle name="Accent6 2 2" xfId="950" xr:uid="{92FF6C5B-167C-4D34-86F9-50798F694A43}"/>
    <cellStyle name="Accent6 2 3" xfId="951" xr:uid="{6A54F010-1742-4014-9749-4C4079F2452B}"/>
    <cellStyle name="Accent6 2 4" xfId="952" xr:uid="{15555EA7-F176-43C5-B2C2-DB64927FE877}"/>
    <cellStyle name="Accent6 2 5" xfId="953" xr:uid="{8D0F9816-69F8-4A01-A28E-A74AD6B4AC4D}"/>
    <cellStyle name="Accent6 3" xfId="954" xr:uid="{6663CBCF-02F1-429B-A196-74C6508A9691}"/>
    <cellStyle name="Accent6 4" xfId="955" xr:uid="{B7D7C23A-8739-4C03-BD66-3473EBA6F4B4}"/>
    <cellStyle name="Accent6 5" xfId="956" xr:uid="{AA8D6378-8913-4E52-9B96-A7C2C47B524D}"/>
    <cellStyle name="Adjustable" xfId="957" xr:uid="{66D4DCEE-5C5B-4B5A-B5A2-279D0D960202}"/>
    <cellStyle name="Adjustable 2" xfId="958" xr:uid="{A09FB2F2-98A3-4A08-B98D-6105D2856D90}"/>
    <cellStyle name="Adjustable 3" xfId="959" xr:uid="{9D18D2E6-80B3-43CE-86DC-81950FA00657}"/>
    <cellStyle name="ÅëÈ­ [0]_±âÅ¸" xfId="960" xr:uid="{C3B0055C-2985-45F5-BF19-71B371BFE4C6}"/>
    <cellStyle name="ÅëÈ­_±âÅ¸" xfId="961" xr:uid="{1192B7E2-F10F-4C88-9EAB-95532D0679C3}"/>
    <cellStyle name="ÄÞ¸¶ [0]_±âÅ¸" xfId="962" xr:uid="{5C4A6A04-8D74-4837-8729-75E6B65D1386}"/>
    <cellStyle name="ÄÞ¸¶_±âÅ¸" xfId="963" xr:uid="{7D4BBAE5-D358-483C-8D0F-9A55AF4FEFA1}"/>
    <cellStyle name="Bad 2" xfId="964" xr:uid="{2FCA32EF-C1EE-447E-BFDE-D9C278C8AE3B}"/>
    <cellStyle name="Bad 2 2" xfId="965" xr:uid="{533607B3-BCFD-4A21-AB03-1183440A0A4E}"/>
    <cellStyle name="Bad 2 3" xfId="966" xr:uid="{CBDCF93A-3D30-4D9E-9A17-C953323914A0}"/>
    <cellStyle name="Bad 2 4" xfId="967" xr:uid="{2286FFD9-0B2A-4ED0-BFF6-D6093A818E0D}"/>
    <cellStyle name="Bad 2 5" xfId="968" xr:uid="{50CB9CA5-48AE-48E6-BC01-F60D6A422BE7}"/>
    <cellStyle name="Bad 3" xfId="969" xr:uid="{D6346BC4-3536-4D69-9C40-9805EE28CDAC}"/>
    <cellStyle name="Bad 4" xfId="970" xr:uid="{420EC4AC-B0E1-4F42-A4D5-9C707A43CC60}"/>
    <cellStyle name="Bad 5" xfId="971" xr:uid="{5EEE185D-03AF-47D4-9EBA-ECED47F785D3}"/>
    <cellStyle name="Best" xfId="972" xr:uid="{C1187ABC-1157-4972-8BA3-2B60A8E76B22}"/>
    <cellStyle name="Best 2" xfId="973" xr:uid="{886DB3E4-395A-4AA8-A557-EEFB4827B70D}"/>
    <cellStyle name="Best 3" xfId="974" xr:uid="{BCDF2328-1AB4-4377-BAF1-E6C9F286A966}"/>
    <cellStyle name="BORDERS" xfId="975" xr:uid="{65F70B91-E3A8-4B13-964B-BDAC6C2F7A6F}"/>
    <cellStyle name="Ç¥ÁØ_¿ù°£¿ä¾àº¸°í" xfId="976" xr:uid="{168736F0-6C1B-4DCC-9E97-5D9A3CE30F5C}"/>
    <cellStyle name="Calc Currency (0)" xfId="977" xr:uid="{B56D80EB-D3CC-4883-AB81-04780D4CF6EE}"/>
    <cellStyle name="Calc Currency (0) 2" xfId="978" xr:uid="{108EEA20-8498-4103-BC14-DD4D38BEB281}"/>
    <cellStyle name="Calc Currency (0) 3" xfId="979" xr:uid="{B915C70C-B756-4F82-B99F-3E99AD2A5246}"/>
    <cellStyle name="Calc Currency (0) 4" xfId="980" xr:uid="{CF7B6F43-88BC-430E-AE10-9035FD74B6AF}"/>
    <cellStyle name="Calc Currency (0) 5" xfId="981" xr:uid="{EBB8F199-9B24-47C0-B7A9-122FAB8AC0F4}"/>
    <cellStyle name="Calc Currency (0) 6" xfId="982" xr:uid="{3004693C-E6ED-40EE-A929-63EA470E18A9}"/>
    <cellStyle name="Calculation 2" xfId="983" xr:uid="{D1281DD3-EAD0-4D7A-81B9-AAAD05671290}"/>
    <cellStyle name="Calculation 2 2" xfId="984" xr:uid="{882DAA9D-5660-4215-8595-36E36539B9F2}"/>
    <cellStyle name="Calculation 2 3" xfId="985" xr:uid="{5164C71F-EBF5-4591-85A8-47B47C885BA7}"/>
    <cellStyle name="Calculation 2 4" xfId="986" xr:uid="{BA5CF88F-8E3D-4039-93E0-D6CFBC4B72DC}"/>
    <cellStyle name="Calculation 2 5" xfId="987" xr:uid="{DE79CBC2-7224-4F53-9FA6-207FA5B372E1}"/>
    <cellStyle name="Calculation 3" xfId="988" xr:uid="{4A22E602-3969-4CBF-8E49-1955DF797F12}"/>
    <cellStyle name="Calculation 4" xfId="989" xr:uid="{9EE8A052-3521-485E-8FB8-CE0789FDC478}"/>
    <cellStyle name="Calculation 5" xfId="990" xr:uid="{0DCE88CD-1236-4F87-A956-E1E1CF45BF00}"/>
    <cellStyle name="Check Cell 2" xfId="991" xr:uid="{30AA8181-42FF-413E-B5BC-1E77FE19D820}"/>
    <cellStyle name="Check Cell 2 2" xfId="992" xr:uid="{1FEBCE75-B585-458B-8AAF-59AA8C6255D0}"/>
    <cellStyle name="Check Cell 2 3" xfId="993" xr:uid="{0672B380-54D5-4696-91DD-8DA2D681EC30}"/>
    <cellStyle name="Check Cell 2 4" xfId="994" xr:uid="{381AD049-34AD-4E18-8A76-AB5513040092}"/>
    <cellStyle name="Check Cell 2 5" xfId="995" xr:uid="{C9E2D534-9D4F-458F-9017-DB065E145674}"/>
    <cellStyle name="Check Cell 3" xfId="996" xr:uid="{525BF691-0F51-4488-A7A2-B5526A35DDB8}"/>
    <cellStyle name="Check Cell 4" xfId="997" xr:uid="{4D025F84-84E4-407B-822A-FCF61A3AE0C0}"/>
    <cellStyle name="Check Cell 5" xfId="998" xr:uid="{000758F3-1E64-4218-9CAA-87603FC8CDDF}"/>
    <cellStyle name="ÇÏÀÌÆÛ¸µÅ©" xfId="999" xr:uid="{8CEA3630-A46E-43AD-9EBB-D8D75B8A7462}"/>
    <cellStyle name="Comma  - Style1" xfId="1000" xr:uid="{DDF00BBB-2B5B-46C9-9E2E-0F954ADAF926}"/>
    <cellStyle name="Comma  - Style2" xfId="1001" xr:uid="{EF4E183A-8272-4CC3-92F7-EEC9B9AA38D0}"/>
    <cellStyle name="Comma  - Style3" xfId="1002" xr:uid="{74CECF29-5D10-4185-A12B-243A38104F16}"/>
    <cellStyle name="Comma  - Style4" xfId="1003" xr:uid="{4EF9F3B2-366F-4C89-A3A5-827BBAB0E34E}"/>
    <cellStyle name="Comma  - Style5" xfId="1004" xr:uid="{8E3589B2-5658-4CBB-B8D7-FE5B102BC07D}"/>
    <cellStyle name="Comma  - Style6" xfId="1005" xr:uid="{4EAF137C-92D1-4F53-BAF1-2C9B1198DD40}"/>
    <cellStyle name="Comma  - Style7" xfId="1006" xr:uid="{B19C4C7C-B583-497E-A451-987E958EA92F}"/>
    <cellStyle name="Comma  - Style8" xfId="1007" xr:uid="{E9DFB424-8F57-4C78-B4C8-D6827E904604}"/>
    <cellStyle name="Comma 10" xfId="1008" xr:uid="{FEE463C8-48FF-4367-A3B3-164EB33A015F}"/>
    <cellStyle name="Comma 10 2" xfId="1009" xr:uid="{1068C2D6-34A0-4CCF-A692-31325281C8D5}"/>
    <cellStyle name="Comma 10 2 2" xfId="1010" xr:uid="{13CA2680-906F-496D-A186-985D0883F78E}"/>
    <cellStyle name="Comma 10 2 2 2" xfId="1011" xr:uid="{B8E14922-BD22-420E-968B-DA24B28B20A9}"/>
    <cellStyle name="Comma 10 2 2 2 2" xfId="1012" xr:uid="{75432339-5F80-4164-805D-835DB2169D5E}"/>
    <cellStyle name="Comma 10 2 2 2 3" xfId="1013" xr:uid="{D97A7FA1-7E93-4017-8E0A-65ED1441FD46}"/>
    <cellStyle name="Comma 10 2 2 2 3 2" xfId="1014" xr:uid="{E3248885-BA8B-4E00-B4AA-F99DDC288E60}"/>
    <cellStyle name="Comma 10 2 2 3" xfId="1015" xr:uid="{9C2A8A99-F4A4-4270-A9CF-DA781151D3BE}"/>
    <cellStyle name="Comma 10 2 2 4" xfId="1016" xr:uid="{06196E78-8CF1-447F-8898-36488767CB67}"/>
    <cellStyle name="Comma 10 2 2 4 2" xfId="1017" xr:uid="{69A9BE82-FF7B-4FFE-9C03-54EEE98B33C0}"/>
    <cellStyle name="Comma 10 2 3" xfId="1018" xr:uid="{48960DB6-421D-4720-A03D-96CF88FF92CE}"/>
    <cellStyle name="Comma 10 2 4" xfId="1019" xr:uid="{740E99E6-995A-4E37-92E5-C7D9E23613CE}"/>
    <cellStyle name="Comma 10 2 4 2" xfId="1020" xr:uid="{1975280B-28F4-4CAB-B9BC-0A3787B10506}"/>
    <cellStyle name="Comma 10 2 4 3" xfId="1021" xr:uid="{967ECB36-721F-4BAD-995A-8AB4690ADE00}"/>
    <cellStyle name="Comma 10 2 4 3 2" xfId="1022" xr:uid="{0504F185-30E3-4EA0-8AF2-B807827058DE}"/>
    <cellStyle name="Comma 10 2 5" xfId="1023" xr:uid="{B33BD01F-1106-4738-A0D6-E4AF2399B575}"/>
    <cellStyle name="Comma 10 2 6" xfId="1024" xr:uid="{C1046D56-09E0-4377-A898-FC2AAC7DD78B}"/>
    <cellStyle name="Comma 10 2 6 2" xfId="1025" xr:uid="{AF6B61EB-21C4-4FD5-BDBD-B54C8A3A1556}"/>
    <cellStyle name="Comma 10 3" xfId="1026" xr:uid="{F3A16DEC-8091-4AA1-BEFB-F9D206D2F11F}"/>
    <cellStyle name="Comma 10 4" xfId="1027" xr:uid="{4DAE55C9-DDDE-4238-B79F-EF8F4EA711CA}"/>
    <cellStyle name="Comma 10 5" xfId="1028" xr:uid="{9BC3AF20-FE0C-4340-A29B-A066417471C3}"/>
    <cellStyle name="Comma 10 6" xfId="1029" xr:uid="{83ED133C-F39C-4FD3-8E27-7566A3900C20}"/>
    <cellStyle name="Comma 10 7" xfId="1030" xr:uid="{C8C522FC-D243-4F28-80B9-4839083D7880}"/>
    <cellStyle name="Comma 10_EX.STORAGE.PBU" xfId="1031" xr:uid="{C8E1AF87-7F33-478C-A1A1-34F781937EE5}"/>
    <cellStyle name="Comma 11" xfId="1032" xr:uid="{BCA55459-7CD1-4835-BA2A-0CB4858A1726}"/>
    <cellStyle name="Comma 11 2" xfId="1033" xr:uid="{E94BD29B-87FE-4416-9ACA-9D6EBFE1A3BD}"/>
    <cellStyle name="Comma 11 2 2" xfId="1034" xr:uid="{BEB80EC7-2658-4211-9BCC-32F03EE0F628}"/>
    <cellStyle name="Comma 11 2 2 2" xfId="1035" xr:uid="{5C778A04-27D3-440C-AACC-16C38DC6FF6A}"/>
    <cellStyle name="Comma 11 3" xfId="1036" xr:uid="{FAC727D6-5F2A-46D5-BE9C-D828E9FE9F6A}"/>
    <cellStyle name="Comma 11 4" xfId="1037" xr:uid="{5BD3BC93-015A-42F9-837A-D83BCFC02451}"/>
    <cellStyle name="Comma 11_EX.STORAGE.PBU" xfId="1038" xr:uid="{83536E72-C9EC-4BF9-AE15-2D2A5AFC2B61}"/>
    <cellStyle name="Comma 12" xfId="1039" xr:uid="{2C013EC8-F636-452F-9C65-6BD595037545}"/>
    <cellStyle name="Comma 12 2" xfId="1040" xr:uid="{AA502AFA-328B-4F44-BF20-1DD1897C6E77}"/>
    <cellStyle name="Comma 12 2 2" xfId="1041" xr:uid="{AE994633-6976-4B32-8363-D33B57193B60}"/>
    <cellStyle name="Comma 12 2 2 2" xfId="1042" xr:uid="{8FFDAD84-1EAB-4952-A48B-B25BBF761654}"/>
    <cellStyle name="Comma 12 2 2 2 2" xfId="1043" xr:uid="{4CD728C1-A614-4A61-A976-97008B998CA2}"/>
    <cellStyle name="Comma 12 2 2 2 2 2" xfId="1044" xr:uid="{4D882456-CCCF-4715-B77F-A57ADCBA8134}"/>
    <cellStyle name="Comma 12 2 2 2 2 2 2" xfId="1045" xr:uid="{DACD3001-8A7F-48ED-A63F-9568D6759012}"/>
    <cellStyle name="Comma 12 2 2 2 2 2 3" xfId="1046" xr:uid="{D5B3DC66-A169-49A1-95B8-26F722F231BD}"/>
    <cellStyle name="Comma 12 2 2 2 2 3" xfId="1047" xr:uid="{20F68676-D938-4FE7-A3B6-3216E529B8BD}"/>
    <cellStyle name="Comma 12 2 2 2 2 4" xfId="1048" xr:uid="{BFB200F8-3365-407E-9D37-65B296590216}"/>
    <cellStyle name="Comma 12 2 2 2 3" xfId="1049" xr:uid="{18F9E7EB-6C8C-43A1-B13B-CDDDB394CC26}"/>
    <cellStyle name="Comma 12 2 2 2 3 2" xfId="1050" xr:uid="{4F4AE7DB-CE8E-4DC0-B630-41301388334F}"/>
    <cellStyle name="Comma 12 2 2 2 3 3" xfId="1051" xr:uid="{8903DF95-2566-4AA2-BACF-BAF55565207A}"/>
    <cellStyle name="Comma 12 2 2 2 4" xfId="1052" xr:uid="{68C63E38-4A0A-412D-8F5A-493684B6AD1E}"/>
    <cellStyle name="Comma 12 2 2 2 5" xfId="1053" xr:uid="{D0DE6E15-6510-4041-A572-78921EDAE027}"/>
    <cellStyle name="Comma 12 2 2 3" xfId="1054" xr:uid="{A1D2FAB4-76F0-4930-9369-10128BF7C198}"/>
    <cellStyle name="Comma 12 2 2 3 2" xfId="1055" xr:uid="{65BB40EB-80F7-404E-A0A0-20F8EDB342CE}"/>
    <cellStyle name="Comma 12 2 2 3 2 2" xfId="1056" xr:uid="{E2F58EE0-1A3D-471C-B60D-D501891C6880}"/>
    <cellStyle name="Comma 12 2 2 3 2 3" xfId="1057" xr:uid="{AD2B0E79-FDDF-44FD-8445-BE8747143804}"/>
    <cellStyle name="Comma 12 2 2 3 2 3 2" xfId="1058" xr:uid="{054B3577-E83F-491E-834B-AC78E3E3B924}"/>
    <cellStyle name="Comma 12 2 2 3 3" xfId="1059" xr:uid="{43FB1F9A-F47A-4C26-9B73-B77F37B91135}"/>
    <cellStyle name="Comma 12 2 2 3 4" xfId="1060" xr:uid="{DF2E265E-EA17-4B86-B857-A479D2007F12}"/>
    <cellStyle name="Comma 12 2 2 3 4 2" xfId="1061" xr:uid="{8AF971D6-CB49-4E41-9247-5122BB125117}"/>
    <cellStyle name="Comma 12 2 2 4" xfId="1062" xr:uid="{F567A9D1-0DDC-47DF-A5C4-611D404E3B86}"/>
    <cellStyle name="Comma 12 2 2 4 2" xfId="1063" xr:uid="{04082B58-22D3-41BA-A842-66E14C291B6D}"/>
    <cellStyle name="Comma 12 2 2 4 3" xfId="1064" xr:uid="{54CD467D-76F0-47B8-AB1E-AD06BC18C6EB}"/>
    <cellStyle name="Comma 12 2 2 4 3 2" xfId="1065" xr:uid="{1123EBA9-054F-4E83-92DE-206BB5C07E72}"/>
    <cellStyle name="Comma 12 2 2 5" xfId="1066" xr:uid="{F36BA5AC-3104-42CA-9FFB-AFE12EE48EAB}"/>
    <cellStyle name="Comma 12 2 2 6" xfId="1067" xr:uid="{84A5E7DF-3CA2-481C-BF93-DE45E4416E8A}"/>
    <cellStyle name="Comma 12 2 2 6 2" xfId="1068" xr:uid="{24C0624B-4C9B-488F-BBBE-650B1EBC0DCC}"/>
    <cellStyle name="Comma 12 2 3" xfId="1069" xr:uid="{4BFBF235-3AD3-4B26-BEA8-8D7384EAAD54}"/>
    <cellStyle name="Comma 12 2 3 2" xfId="1070" xr:uid="{158578DC-CFF5-4E2E-B4DC-72682D2F43A6}"/>
    <cellStyle name="Comma 12 2 3 2 2" xfId="1071" xr:uid="{3BE8816D-0C1A-4D1F-941E-4D17222BA3C6}"/>
    <cellStyle name="Comma 12 2 3 2 2 2" xfId="1072" xr:uid="{B74FD91A-D3FB-4D50-91F9-9232518DD381}"/>
    <cellStyle name="Comma 12 2 3 2 2 3" xfId="1073" xr:uid="{99FDFCFE-A48E-43AE-9F4C-19B87D04D7DF}"/>
    <cellStyle name="Comma 12 2 3 2 3" xfId="1074" xr:uid="{A01ABB89-070B-4574-8C7E-9C0CE29BBE46}"/>
    <cellStyle name="Comma 12 2 3 2 4" xfId="1075" xr:uid="{15C516F4-CC24-4C11-B8A8-449E6830F2D0}"/>
    <cellStyle name="Comma 12 2 3 3" xfId="1076" xr:uid="{F41476C2-65BE-4070-A13E-287BF14A6E5A}"/>
    <cellStyle name="Comma 12 2 3 3 2" xfId="1077" xr:uid="{20ABC459-6719-4571-96BE-332A6FAFE01C}"/>
    <cellStyle name="Comma 12 2 3 3 3" xfId="1078" xr:uid="{9F8A7826-BFEC-41CF-AF83-B021762A6ADD}"/>
    <cellStyle name="Comma 12 2 3 4" xfId="1079" xr:uid="{C1B450F7-8209-4F67-80B9-8ED71A5E9C7B}"/>
    <cellStyle name="Comma 12 2 3 5" xfId="1080" xr:uid="{6882374E-D97A-47E0-96DC-E55B8C6E957D}"/>
    <cellStyle name="Comma 12 2 4" xfId="1081" xr:uid="{F1A80BE6-CCCD-4234-B44A-EC8452CC3FCC}"/>
    <cellStyle name="Comma 12 2 4 2" xfId="1082" xr:uid="{9CAAE757-4F2E-42E1-B6D7-5CBA844F5180}"/>
    <cellStyle name="Comma 12 2 4 2 2" xfId="1083" xr:uid="{9CCE1643-3945-4AAB-8EBE-AFE7B8BB6FE1}"/>
    <cellStyle name="Comma 12 2 4 2 3" xfId="1084" xr:uid="{92A5B847-D95E-48F4-AB4B-45D1BB4371C8}"/>
    <cellStyle name="Comma 12 2 4 3" xfId="1085" xr:uid="{362B6A50-F75A-4148-B3B0-29CE18039FB6}"/>
    <cellStyle name="Comma 12 2 4 4" xfId="1086" xr:uid="{87B6ABE9-F146-47AE-A983-EA9A848AF908}"/>
    <cellStyle name="Comma 12 2 5" xfId="1087" xr:uid="{D06F750C-DD9F-4183-9FF8-8D21F4EA9299}"/>
    <cellStyle name="Comma 12 2 5 2" xfId="1088" xr:uid="{8FC47BFE-4CE0-423D-B57E-4AAF5F337230}"/>
    <cellStyle name="Comma 12 2 5 3" xfId="1089" xr:uid="{FCB58450-DF3B-4DEF-BD5C-36EF4E092F7F}"/>
    <cellStyle name="Comma 12 2 6" xfId="1090" xr:uid="{7EF573AB-DF99-447E-ADD9-55C40D4F1261}"/>
    <cellStyle name="Comma 12 2 7" xfId="1091" xr:uid="{D394B577-7103-4F2A-B428-DE0E52B1B2A2}"/>
    <cellStyle name="Comma 12 3" xfId="1092" xr:uid="{02464D9A-B1A6-4C19-BA05-F29CC921F266}"/>
    <cellStyle name="Comma 12 3 2" xfId="1093" xr:uid="{D1F16495-4C3F-458B-A16B-F0480B67B758}"/>
    <cellStyle name="Comma 12 3 3" xfId="1094" xr:uid="{0BD9513B-CCAA-4BA8-904D-FA282B90BE80}"/>
    <cellStyle name="Comma 12 3 3 2" xfId="1095" xr:uid="{2A496B0D-39B0-408A-9728-D69AAFEDF8D8}"/>
    <cellStyle name="Comma 12 4" xfId="1096" xr:uid="{D9DEF347-C81A-467B-AD9A-EB869260DA25}"/>
    <cellStyle name="Comma 12 5" xfId="1097" xr:uid="{B8DA045E-5F59-4DA1-A3A8-A26763E558E6}"/>
    <cellStyle name="Comma 12_EX.STORAGE.PBU" xfId="1098" xr:uid="{C2C2FFD9-8F4B-4C6C-A16A-3B1002550DAD}"/>
    <cellStyle name="Comma 13" xfId="1099" xr:uid="{0DA6096C-1224-4856-B99D-31747DFAC5B6}"/>
    <cellStyle name="Comma 13 2" xfId="1100" xr:uid="{973EC705-7987-4467-9DA3-1A6A62F4B38F}"/>
    <cellStyle name="Comma 13 3" xfId="1101" xr:uid="{A0280442-E9F9-40BC-B84E-BC352E437E5C}"/>
    <cellStyle name="Comma 13 4" xfId="1102" xr:uid="{41009F5A-450A-4F3B-9438-F81A4B1BC5E7}"/>
    <cellStyle name="Comma 13 5" xfId="1103" xr:uid="{A7343DA8-7E75-4A0A-A7EE-B187100E3D4E}"/>
    <cellStyle name="Comma 13 5 2" xfId="1104" xr:uid="{BA9FA778-DA00-4470-809B-249B94C5CE59}"/>
    <cellStyle name="Comma 13_EX.STORAGE.PBU" xfId="1105" xr:uid="{C2BDDEA0-B743-4CD8-BA27-42A862070697}"/>
    <cellStyle name="Comma 14" xfId="1106" xr:uid="{638B1263-51C0-46A8-87B0-C50E563D54F2}"/>
    <cellStyle name="Comma 14 2" xfId="1107" xr:uid="{939948CF-DBD6-4EE0-B899-8DD61C87A237}"/>
    <cellStyle name="Comma 14 3" xfId="1108" xr:uid="{4851E020-B7A2-4A94-9A48-00D488EBD729}"/>
    <cellStyle name="Comma 14 4" xfId="1109" xr:uid="{D7DC62D9-EA2F-4272-8183-8F5B0FFC7912}"/>
    <cellStyle name="Comma 14 5" xfId="1110" xr:uid="{10D62D4B-175C-45B7-B3B8-1F9A77C38810}"/>
    <cellStyle name="Comma 14 5 2" xfId="1111" xr:uid="{F05AC37F-A27A-484A-8077-599540AEA93C}"/>
    <cellStyle name="Comma 15" xfId="1112" xr:uid="{516C070A-DBBA-497E-A4F3-F9E5B8916FBF}"/>
    <cellStyle name="Comma 15 2" xfId="1113" xr:uid="{5407D1F0-6990-4D18-8C69-022EC6607AA6}"/>
    <cellStyle name="Comma 15 3" xfId="1114" xr:uid="{7E45D07C-538A-41A7-A8AF-2F24328DEF60}"/>
    <cellStyle name="Comma 15 4" xfId="1115" xr:uid="{A193E6F1-578D-4A8D-91B3-3D8F113DB957}"/>
    <cellStyle name="Comma 15 5" xfId="1116" xr:uid="{496974D7-18C1-42AF-91EF-2145855F669D}"/>
    <cellStyle name="Comma 15 6" xfId="1117" xr:uid="{61D9B898-BE97-46B4-9434-F1651243DC50}"/>
    <cellStyle name="Comma 15 6 2" xfId="1118" xr:uid="{CA4FB0C5-7856-4466-AB9D-82C51AC54628}"/>
    <cellStyle name="Comma 15_EX.STORAGE.PBU" xfId="1119" xr:uid="{C90BA0DD-BA35-4723-9EFB-A6A26FAA2040}"/>
    <cellStyle name="Comma 16" xfId="1120" xr:uid="{E2832FB0-F577-42E1-B16A-8871F476FBDE}"/>
    <cellStyle name="Comma 16 2" xfId="1121" xr:uid="{7F81DB55-0B2B-45BE-B4AC-F5E3854B9EB5}"/>
    <cellStyle name="Comma 16 3" xfId="1122" xr:uid="{4B5AD2A5-7467-40F3-BB8D-36803992BB2F}"/>
    <cellStyle name="Comma 16 4" xfId="1123" xr:uid="{865CD6C4-6874-497F-84B7-858D5143086E}"/>
    <cellStyle name="Comma 16 5" xfId="1124" xr:uid="{3E9C985B-75B8-44A4-A732-EBE6BAA2D158}"/>
    <cellStyle name="Comma 16 5 2" xfId="1125" xr:uid="{7274ECB7-1E58-46C5-A351-F7A84C5216D8}"/>
    <cellStyle name="Comma 17" xfId="1126" xr:uid="{74F43D10-FFE8-45D3-A22E-DA8230F231B1}"/>
    <cellStyle name="Comma 17 2" xfId="1127" xr:uid="{5F63C41A-9EDE-4395-9D70-3CB78B88418B}"/>
    <cellStyle name="Comma 17 3" xfId="1128" xr:uid="{9B7FBE20-AF0E-4145-A101-7A15FEF66C63}"/>
    <cellStyle name="Comma 17 4" xfId="1129" xr:uid="{9E251635-16AF-4915-8D77-75AA62C5EFEA}"/>
    <cellStyle name="Comma 17 4 2" xfId="1130" xr:uid="{25AF76F4-9BF2-4F7D-AC14-A20C9526BF01}"/>
    <cellStyle name="Comma 18" xfId="1131" xr:uid="{64DE4EEC-5FBE-4744-BC87-605CBDEF7E38}"/>
    <cellStyle name="Comma 19" xfId="1132" xr:uid="{3246809F-4EDA-4864-8957-C264FD2937E2}"/>
    <cellStyle name="Comma 2" xfId="1133" xr:uid="{CE3F823A-F1B4-414D-B97A-62E3C8756D4D}"/>
    <cellStyle name="Comma 2 2" xfId="1134" xr:uid="{538EA892-5C05-40E2-935D-825EE903189C}"/>
    <cellStyle name="Comma 2 2 2" xfId="1135" xr:uid="{0DF25E91-25B0-443F-8137-BA3389B6C138}"/>
    <cellStyle name="Comma 2 2 3" xfId="1136" xr:uid="{B3CA2AFA-AEF9-40ED-9266-1AFC908996DE}"/>
    <cellStyle name="Comma 2 2 4" xfId="1137" xr:uid="{8B4DD6AC-19B8-4D14-9CC1-4C9047F27476}"/>
    <cellStyle name="Comma 2 3" xfId="1138" xr:uid="{E0C81B86-1D91-4099-9874-A1842F49BA47}"/>
    <cellStyle name="Comma 2 3 2" xfId="1139" xr:uid="{D72B314F-182D-405E-86BE-858CA1C6587E}"/>
    <cellStyle name="Comma 2 3 3" xfId="1140" xr:uid="{86C86004-F33F-4153-83A5-1D1EE3409FAE}"/>
    <cellStyle name="Comma 2 4" xfId="1141" xr:uid="{38E327FF-8C9F-4B24-87D4-3CEB370DFAEC}"/>
    <cellStyle name="Comma 2 4 2" xfId="1142" xr:uid="{70F088F6-6F8C-4A5C-8096-F97F512A5842}"/>
    <cellStyle name="Comma 2 4 2 2" xfId="1143" xr:uid="{A7E8B21A-0F13-4F62-AEC3-8875349E0270}"/>
    <cellStyle name="Comma 2 4 2 3" xfId="1144" xr:uid="{A1D011A9-5FDC-4A1D-97FD-A24CC1B97DDE}"/>
    <cellStyle name="Comma 2 4 2 3 2" xfId="1145" xr:uid="{DE4D1BA3-5D4B-44C8-84D6-F93CBA8AFF18}"/>
    <cellStyle name="Comma 2 4 2 3 3" xfId="1146" xr:uid="{DA7560E8-A129-477D-A648-729F375E87FA}"/>
    <cellStyle name="Comma 2 4 2 3 3 2" xfId="1147" xr:uid="{6717413F-78E3-4441-88A6-602BA9CE8B56}"/>
    <cellStyle name="Comma 2 4 2 4" xfId="1148" xr:uid="{F556F86A-3B19-4EC3-B285-3F5FF114C75B}"/>
    <cellStyle name="Comma 2 4 2 5" xfId="1149" xr:uid="{3E9BB5A3-1EE0-4573-937D-891B622B1B24}"/>
    <cellStyle name="Comma 2 4 2 5 2" xfId="1150" xr:uid="{F45313B2-23C9-4928-912C-780A83B9A7A2}"/>
    <cellStyle name="Comma 2 4 3" xfId="1151" xr:uid="{5388395E-599E-4299-83C1-C9E38C505133}"/>
    <cellStyle name="Comma 2 4 4" xfId="1152" xr:uid="{789523D1-0FF9-4B61-B66A-0365435C7A0A}"/>
    <cellStyle name="Comma 2 4 4 2" xfId="1153" xr:uid="{7945EF16-CC9E-4444-92D2-35A033F93B74}"/>
    <cellStyle name="Comma 2 4 4 3" xfId="1154" xr:uid="{5BBF2D05-9EA5-46FE-9BA5-95976F50B39C}"/>
    <cellStyle name="Comma 2 4 4 3 2" xfId="1155" xr:uid="{831ABD2D-AB44-4007-A514-224E727A19C4}"/>
    <cellStyle name="Comma 2 4 5" xfId="1156" xr:uid="{219ED400-2AA4-45F8-9F5A-72003084807E}"/>
    <cellStyle name="Comma 2 4 6" xfId="1157" xr:uid="{2B3A7049-50C7-4F17-B7EE-890DBCB0B8F5}"/>
    <cellStyle name="Comma 2 4 6 2" xfId="1158" xr:uid="{CC8C6EE6-FCEB-4FB5-8E0B-7C5538D6A023}"/>
    <cellStyle name="Comma 2 5" xfId="1159" xr:uid="{443629B0-ABD4-4FC4-A767-C1FD6D3D07CC}"/>
    <cellStyle name="Comma 2 5 2" xfId="1160" xr:uid="{27A5EA2B-BA6A-4307-A126-BB7B4EED5F9B}"/>
    <cellStyle name="Comma 2 6" xfId="1161" xr:uid="{D91C099A-A865-4513-908C-187B3D10550F}"/>
    <cellStyle name="Comma 2_EX.STORAGE.PBU" xfId="1162" xr:uid="{647F763D-BC0D-455C-A32D-9CBC3345F1F6}"/>
    <cellStyle name="Comma 20" xfId="1163" xr:uid="{8F8BCBD1-307E-44F6-932E-ED64655C5E54}"/>
    <cellStyle name="Comma 21" xfId="1164" xr:uid="{6B49AB87-2BFD-4B75-99D2-333FF904D933}"/>
    <cellStyle name="Comma 22" xfId="1165" xr:uid="{825C406A-82D9-4505-8A3B-795F3F83E22B}"/>
    <cellStyle name="Comma 23" xfId="1166" xr:uid="{805E4478-A7AE-41EF-84A7-A6C59AE7D994}"/>
    <cellStyle name="Comma 24" xfId="1167" xr:uid="{F1A833C8-9D6A-4F37-AF53-E79C26FB7211}"/>
    <cellStyle name="Comma 25" xfId="1168" xr:uid="{19979788-A7FE-40BA-A870-3C92243300BC}"/>
    <cellStyle name="Comma 26" xfId="1169" xr:uid="{995C4B29-BA68-4FAB-B4D5-DE16D7822564}"/>
    <cellStyle name="Comma 27" xfId="1170" xr:uid="{3AC1EB8B-A309-45CE-B77B-BAAA35A452A6}"/>
    <cellStyle name="Comma 28" xfId="1171" xr:uid="{43826815-1BA3-4869-A30A-6D8718382985}"/>
    <cellStyle name="Comma 29" xfId="1172" xr:uid="{AA4186D0-E3F2-416A-BDD2-EAF311374062}"/>
    <cellStyle name="Comma 3" xfId="1173" xr:uid="{02A518CB-E985-4FF2-8882-43AAF366266C}"/>
    <cellStyle name="Comma 3 2" xfId="1174" xr:uid="{9AE2D349-C0AB-4430-BC9B-1A6DF091FBE6}"/>
    <cellStyle name="Comma 3 2 2" xfId="1175" xr:uid="{B4FE24EB-CC65-42F0-B709-18D8C22BE3C2}"/>
    <cellStyle name="Comma 3 2 2 2" xfId="1176" xr:uid="{0EA9101A-E690-4765-B40A-877F63137A5F}"/>
    <cellStyle name="Comma 3 2 2 2 2" xfId="1177" xr:uid="{D071DB70-82A6-4634-91A3-792B3AD7407D}"/>
    <cellStyle name="Comma 3 2 2 2 2 2" xfId="1178" xr:uid="{E71192F2-960C-4480-8FB1-186649EB59EC}"/>
    <cellStyle name="Comma 3 2 2 2 2 3" xfId="1179" xr:uid="{4E1529D5-7558-4A0D-A8C6-827D3C77D1DB}"/>
    <cellStyle name="Comma 3 2 2 2 2 3 2" xfId="1180" xr:uid="{DFCF7BC4-34D3-456E-9A95-D6685BD54D6E}"/>
    <cellStyle name="Comma 3 2 2 2 3" xfId="1181" xr:uid="{8C1E8832-2264-44AB-8382-9BF8660B0579}"/>
    <cellStyle name="Comma 3 2 2 2 4" xfId="1182" xr:uid="{EC846A1B-8324-4228-8EBC-98567B684AD7}"/>
    <cellStyle name="Comma 3 2 2 2 4 2" xfId="1183" xr:uid="{EFCB28D6-6D0C-4077-8CE5-70E364888F37}"/>
    <cellStyle name="Comma 3 2 2 3" xfId="1184" xr:uid="{6CAC4748-1724-4809-B1F1-A50C6D325C0A}"/>
    <cellStyle name="Comma 3 2 2 3 2" xfId="1185" xr:uid="{4E850019-D25E-4266-AA8A-FDD644D16942}"/>
    <cellStyle name="Comma 3 2 2 3 3" xfId="1186" xr:uid="{C184A650-26DA-4D70-A249-4837FC773207}"/>
    <cellStyle name="Comma 3 2 2 3 3 2" xfId="1187" xr:uid="{73860CAE-608E-4A3F-ABDB-D5925DAE0BCE}"/>
    <cellStyle name="Comma 3 2 2 4" xfId="1188" xr:uid="{4FE8231A-6DC2-4455-AE6D-DA9CA4B6E685}"/>
    <cellStyle name="Comma 3 2 2 5" xfId="1189" xr:uid="{2375FD28-DFBA-4E7F-8B87-476E90F6A265}"/>
    <cellStyle name="Comma 3 2 2 5 2" xfId="1190" xr:uid="{B447E720-AED3-4663-A811-23AD7E92D832}"/>
    <cellStyle name="Comma 3 2 3" xfId="1191" xr:uid="{48D3EA11-2CA6-471E-8C07-3AC9CC86AC06}"/>
    <cellStyle name="Comma 3 2 3 2" xfId="1192" xr:uid="{D7B43449-AFCC-4CB3-A36C-B31CC2EDF1B5}"/>
    <cellStyle name="Comma 3 2 3 2 2" xfId="1193" xr:uid="{8081E45E-C4C8-48ED-AD34-9184E6839FE6}"/>
    <cellStyle name="Comma 3 2 3 2 3" xfId="1194" xr:uid="{F2476253-27FC-48F9-8F2B-4C2412D22D81}"/>
    <cellStyle name="Comma 3 2 3 2 3 2" xfId="1195" xr:uid="{68EF13DB-A49C-40DE-A04A-2E782F6FDC09}"/>
    <cellStyle name="Comma 3 2 3 3" xfId="1196" xr:uid="{FC4ECA17-61FF-4B64-8386-424881A3417D}"/>
    <cellStyle name="Comma 3 2 3 4" xfId="1197" xr:uid="{5BE6C5BA-7F4A-45A1-A6D8-EC18D2DCC6C0}"/>
    <cellStyle name="Comma 3 2 3 4 2" xfId="1198" xr:uid="{29026CFB-2DB8-4B4A-8A8E-FEC963F92180}"/>
    <cellStyle name="Comma 3 2 4" xfId="1199" xr:uid="{F22B744C-56D6-4DAA-8330-6548A1E6DE3E}"/>
    <cellStyle name="Comma 3 2 4 2" xfId="1200" xr:uid="{C67BF282-E764-4228-8DB5-AABB41954467}"/>
    <cellStyle name="Comma 3 2 4 3" xfId="1201" xr:uid="{858F8A03-E83F-4166-9AF2-CEF3A3A19596}"/>
    <cellStyle name="Comma 3 2 4 3 2" xfId="1202" xr:uid="{9AC9F807-7FE1-427F-B836-D160ECE480AD}"/>
    <cellStyle name="Comma 3 2 5" xfId="1203" xr:uid="{C9DD24DD-4A95-4DBD-BD05-61877C39B80E}"/>
    <cellStyle name="Comma 3 2 6" xfId="1204" xr:uid="{C733E0EE-142E-4C71-A319-6EB1C18A6E21}"/>
    <cellStyle name="Comma 3 2 6 2" xfId="1205" xr:uid="{408E7D4D-D93A-4B1B-A113-7C06C3DBEB58}"/>
    <cellStyle name="Comma 3 3" xfId="1206" xr:uid="{50F95F0A-B72E-4928-9CA0-4894FDD2E865}"/>
    <cellStyle name="Comma 3 4" xfId="1207" xr:uid="{BD32AD8C-AC86-4024-96ED-A627DE9AA61E}"/>
    <cellStyle name="Comma 3 5" xfId="1208" xr:uid="{BA4B3316-4BFA-4E2E-B753-6E93864AD9DA}"/>
    <cellStyle name="Comma 3 6" xfId="1209" xr:uid="{4D8AB381-A252-452D-A0FE-2C25CD07CBC1}"/>
    <cellStyle name="Comma 3 7" xfId="1210" xr:uid="{5BD3CB67-A711-4A79-A2B4-BBD2CFF2EDAC}"/>
    <cellStyle name="Comma 3_EX.STORAGE.PBU" xfId="1211" xr:uid="{CE452EEE-C1C1-47CE-B6B5-560ED37282EB}"/>
    <cellStyle name="Comma 30" xfId="1212" xr:uid="{D68AD589-5F3E-4F9F-8EB8-C9FB5CEC8DDD}"/>
    <cellStyle name="Comma 31" xfId="1213" xr:uid="{A32A3F94-0A9D-47D5-A4BB-E687643A389B}"/>
    <cellStyle name="Comma 32" xfId="1214" xr:uid="{683ACACB-FCFE-4F1E-A566-47976A32DC78}"/>
    <cellStyle name="Comma 33" xfId="1215" xr:uid="{884DA68B-244E-47BF-A1DB-274D16E3FFEC}"/>
    <cellStyle name="Comma 34" xfId="1216" xr:uid="{F4DE4616-36C3-4E4C-9180-7BA2DC43B744}"/>
    <cellStyle name="Comma 35" xfId="1217" xr:uid="{F2A89C5E-50BD-4E2C-AFC8-318CF1CF7DB9}"/>
    <cellStyle name="Comma 36" xfId="1218" xr:uid="{A6966FEA-7379-4348-9CF7-1059DE8E30A7}"/>
    <cellStyle name="Comma 37" xfId="1219" xr:uid="{42C5B0FA-765D-4C3C-BCBD-830A2F8958FE}"/>
    <cellStyle name="Comma 38" xfId="1220" xr:uid="{A3AFDD1B-2D82-4B36-9E85-A9B58BFA01F8}"/>
    <cellStyle name="Comma 39" xfId="1221" xr:uid="{D9CB294F-0446-4DD1-B25D-6FA80708D537}"/>
    <cellStyle name="Comma 4" xfId="1222" xr:uid="{8810BFA2-C264-4CF7-B107-98FE77F0BFC7}"/>
    <cellStyle name="Comma 4 2" xfId="1223" xr:uid="{C53A9A99-E8D4-46CB-8DD8-DBC18D7E1FD8}"/>
    <cellStyle name="Comma 4 2 2" xfId="1224" xr:uid="{EF7746B9-86FE-4510-8453-9F99391DE973}"/>
    <cellStyle name="Comma 4 2 2 2" xfId="1225" xr:uid="{3EA44E5D-874B-4536-BA1B-E8D1C1CA3FB7}"/>
    <cellStyle name="Comma 4 2 3" xfId="1226" xr:uid="{2C6A1328-94E4-4FC6-8672-CE47EA33B42B}"/>
    <cellStyle name="Comma 4 2 3 2" xfId="1227" xr:uid="{62CB4039-1762-4179-A939-118364A58DD3}"/>
    <cellStyle name="Comma 4 2 3 2 2" xfId="1228" xr:uid="{AFA99ED5-1108-492F-860F-1B74C3500777}"/>
    <cellStyle name="Comma 4 2 3 2 2 2" xfId="1229" xr:uid="{31B5F895-9975-45FD-B8AF-4FA045D4787C}"/>
    <cellStyle name="Comma 4 2 3 2 2 3" xfId="1230" xr:uid="{4F2BC51E-6C7F-4EF6-A5E5-63323A8D08BB}"/>
    <cellStyle name="Comma 4 2 3 2 3" xfId="1231" xr:uid="{648652CB-2354-4F74-84B0-C75FD2E10293}"/>
    <cellStyle name="Comma 4 2 3 2 4" xfId="1232" xr:uid="{93D3C2DA-7440-4501-81F9-B603C9B8599F}"/>
    <cellStyle name="Comma 4 2 3 3" xfId="1233" xr:uid="{A8BF8BF5-6678-4D0C-85D9-AA55C47055A6}"/>
    <cellStyle name="Comma 4 2 3 3 2" xfId="1234" xr:uid="{AE0F4074-AF32-480A-A0B3-A8EAB611229A}"/>
    <cellStyle name="Comma 4 2 3 3 3" xfId="1235" xr:uid="{0E451884-4A77-4B76-AAA1-522DCB694BE0}"/>
    <cellStyle name="Comma 4 2 3 4" xfId="1236" xr:uid="{D9B0B1A5-CE17-4139-91C4-4C3251678FF7}"/>
    <cellStyle name="Comma 4 2 3 5" xfId="1237" xr:uid="{76682915-937D-4702-8CE3-059EE3D09184}"/>
    <cellStyle name="Comma 4 3" xfId="1238" xr:uid="{76244548-5B62-4327-BD8C-C3DAC2C05053}"/>
    <cellStyle name="Comma 4 4" xfId="1239" xr:uid="{369ADBA5-EF4D-4EDC-A064-9DDA44DC3F7B}"/>
    <cellStyle name="Comma 4 5" xfId="1240" xr:uid="{8D9AEFA5-EC2D-43DB-AF90-A39D1511D7EB}"/>
    <cellStyle name="Comma 4 6" xfId="1241" xr:uid="{87C75316-188E-4FFE-905B-A5270611BFBA}"/>
    <cellStyle name="Comma 40" xfId="1242" xr:uid="{8D4F2810-DEE8-45F3-924C-49671CD72D25}"/>
    <cellStyle name="Comma 41" xfId="1243" xr:uid="{F8AC63E9-F5C8-426B-A99E-955689F0A78B}"/>
    <cellStyle name="Comma 42" xfId="1244" xr:uid="{B5ECBD40-E327-429C-9828-333CFE2A2757}"/>
    <cellStyle name="Comma 43" xfId="1245" xr:uid="{ADCC6EC8-2C74-45F2-B4FE-F8E2031631ED}"/>
    <cellStyle name="Comma 44" xfId="1246" xr:uid="{0E976172-FFD8-45C9-9379-E76874884BC4}"/>
    <cellStyle name="Comma 45" xfId="1247" xr:uid="{7074A3E8-56AA-4B92-B86D-7265BA77A830}"/>
    <cellStyle name="Comma 46" xfId="1248" xr:uid="{A9BB4E0B-B952-41B1-8C34-E740A76B29D5}"/>
    <cellStyle name="Comma 47" xfId="1249" xr:uid="{48E3A08D-E04D-463E-9F90-DF06947F9300}"/>
    <cellStyle name="Comma 48" xfId="1250" xr:uid="{B16465A0-9A52-42A8-A31A-AE02CEE49C63}"/>
    <cellStyle name="Comma 49" xfId="1251" xr:uid="{472795FB-2619-4C4C-AC58-EC8D242D1C3E}"/>
    <cellStyle name="Comma 5" xfId="1252" xr:uid="{98DB9EA7-C094-43C2-882C-54BE2DB21462}"/>
    <cellStyle name="Comma 5 2" xfId="1253" xr:uid="{6AAB7DAB-368A-4E19-B512-B9E2F7B4238A}"/>
    <cellStyle name="Comma 5 2 2" xfId="1254" xr:uid="{C4A16E14-F373-4F85-8DFD-0A09F1D3D6EE}"/>
    <cellStyle name="Comma 5 2 3" xfId="1255" xr:uid="{1B06BF03-FB16-43C2-B8B7-E2DE2A2A5031}"/>
    <cellStyle name="Comma 5 3" xfId="1256" xr:uid="{16887DFD-A5CC-41CF-A984-BEFF9ADB12B7}"/>
    <cellStyle name="Comma 5 4" xfId="1257" xr:uid="{9202C614-2C45-4ED6-96A0-852743C85DE1}"/>
    <cellStyle name="Comma 5_EX.STORAGE.PBU" xfId="1258" xr:uid="{4523E36A-5D24-4E57-99A9-84ACEFA015FE}"/>
    <cellStyle name="Comma 50" xfId="1259" xr:uid="{7CE079E8-F445-4C43-A413-244818FF353A}"/>
    <cellStyle name="Comma 51" xfId="1260" xr:uid="{0FFBA3A9-6F9E-4CEC-8048-0BB993680A1E}"/>
    <cellStyle name="Comma 52" xfId="1261" xr:uid="{E4092980-456D-4A50-93E1-2E52636717A4}"/>
    <cellStyle name="Comma 53" xfId="1262" xr:uid="{A2697AA8-02FB-4522-8067-27627AB53947}"/>
    <cellStyle name="Comma 54" xfId="1263" xr:uid="{59E43346-E67F-4316-BC53-50B0FC0AEC04}"/>
    <cellStyle name="Comma 55" xfId="1264" xr:uid="{2F191A88-9D2D-4572-AFE8-C48EED8911C4}"/>
    <cellStyle name="Comma 56" xfId="1265" xr:uid="{0496AE50-2DFA-4A36-BBAB-C3611AA8DDD3}"/>
    <cellStyle name="Comma 57" xfId="1266" xr:uid="{ECB1A9C2-9CF1-49BD-B2AA-F5B332A27392}"/>
    <cellStyle name="Comma 58" xfId="1267" xr:uid="{7B59FF03-7BEA-40BB-A43A-4FE70BF2112C}"/>
    <cellStyle name="Comma 59" xfId="1268" xr:uid="{B53AD62F-8A04-4DA2-B2B1-884B0DD8FCE3}"/>
    <cellStyle name="Comma 6" xfId="1269" xr:uid="{BABCAFE1-8A47-4628-BCBC-9A8E5B7BF60A}"/>
    <cellStyle name="Comma 6 2" xfId="1270" xr:uid="{5D88E984-9849-4235-A4CC-0AE00A8C116C}"/>
    <cellStyle name="Comma 6 3" xfId="1271" xr:uid="{32A7130B-8776-4258-B0BF-67E8584C0493}"/>
    <cellStyle name="Comma 6 4" xfId="1272" xr:uid="{0DB7F17C-2BD5-40ED-B97B-17247C204EB4}"/>
    <cellStyle name="Comma 6 5" xfId="1273" xr:uid="{2E0B5A63-156F-4885-8A61-EAFB77FC9B3E}"/>
    <cellStyle name="Comma 6 6" xfId="1274" xr:uid="{39DEBF98-CD42-4D85-9FFF-2D95EBB3CC78}"/>
    <cellStyle name="Comma 6_EX.STORAGE.PBU" xfId="1275" xr:uid="{73727E63-1F79-4D30-9015-270C847D0688}"/>
    <cellStyle name="Comma 60" xfId="1276" xr:uid="{478435F9-97A9-4371-B99C-6D22375FF955}"/>
    <cellStyle name="Comma 7" xfId="1277" xr:uid="{01AC3411-51F3-45C1-8EF1-DCD95D0FEE80}"/>
    <cellStyle name="Comma 7 2" xfId="1278" xr:uid="{A8F17402-9A3C-42C2-BC99-5A39D6F08004}"/>
    <cellStyle name="Comma 7 3" xfId="1279" xr:uid="{14F9B90C-F7CE-496E-A8D6-441D0056A6B6}"/>
    <cellStyle name="Comma 7 4" xfId="1280" xr:uid="{4AA22F1E-B2E2-49C1-B774-9D2CB7C62726}"/>
    <cellStyle name="Comma 7 5" xfId="1281" xr:uid="{F3F43108-F5AC-4A9B-9701-8A56388B253F}"/>
    <cellStyle name="Comma 7 6" xfId="1282" xr:uid="{9253CD79-FA69-4F10-BA8F-A71C873233DA}"/>
    <cellStyle name="Comma 7_EX.STORAGE.PBU" xfId="1283" xr:uid="{87E386F3-7EDB-43A1-B84D-5A2A818101CF}"/>
    <cellStyle name="Comma 8" xfId="1284" xr:uid="{B7C03A2E-1214-4F06-B71C-E4F4D8E825F4}"/>
    <cellStyle name="Comma 8 2" xfId="1285" xr:uid="{1B36961B-D90A-4DAD-9B8D-27B5E2DFBE8E}"/>
    <cellStyle name="Comma 8 3" xfId="1286" xr:uid="{C596B95D-8D9E-4FEC-8A6A-D311A531BF37}"/>
    <cellStyle name="Comma 8 4" xfId="1287" xr:uid="{5E8D9256-9927-478E-9CE4-4EBFC0D5EB7B}"/>
    <cellStyle name="Comma 8 5" xfId="1288" xr:uid="{1F57309B-E4FC-48FB-BC4E-721790031D02}"/>
    <cellStyle name="Comma 8 6" xfId="1289" xr:uid="{0C04257F-1A00-4DBD-9934-0233906E45BF}"/>
    <cellStyle name="Comma 8_EX.STORAGE.PBU" xfId="1290" xr:uid="{C6395005-F255-4279-A55F-14C9563838CE}"/>
    <cellStyle name="Comma 9" xfId="1291" xr:uid="{541A5012-D0F9-4F6E-A663-456B3AECE454}"/>
    <cellStyle name="Comma 9 2" xfId="1292" xr:uid="{4347DBA7-6205-4BDA-889E-33704DD6E83D}"/>
    <cellStyle name="Comma 9 3" xfId="1293" xr:uid="{78CECC3B-9686-419A-9919-1AED397C79C6}"/>
    <cellStyle name="Comma 9 4" xfId="1294" xr:uid="{2B1CA42C-66FD-4903-92A3-A7AB655BD87A}"/>
    <cellStyle name="Comma 9 5" xfId="1295" xr:uid="{237177A9-C114-401A-BFA8-2E98C541B24A}"/>
    <cellStyle name="Comma 9 6" xfId="1296" xr:uid="{70C99D08-CFB4-4E50-94B7-93304198E067}"/>
    <cellStyle name="Comma 9_EX.STORAGE.PBU" xfId="1297" xr:uid="{380FE3A7-A36C-406E-AFCD-F8FFE2508053}"/>
    <cellStyle name="Comma0" xfId="1298" xr:uid="{1ED4E605-34AD-4DF5-BEBB-BE449E828EBE}"/>
    <cellStyle name="Comma0 2" xfId="1299" xr:uid="{221CF060-EDF8-47D0-92F3-595B4727F45D}"/>
    <cellStyle name="Copied" xfId="1300" xr:uid="{5D6627E6-7AAA-4E84-B6A3-538FEE1BFADF}"/>
    <cellStyle name="Currency 2" xfId="1301" xr:uid="{9649537B-DDB1-429C-8511-57E0C8F70B00}"/>
    <cellStyle name="Currency 2 2" xfId="1302" xr:uid="{49616749-7060-499E-853B-AEA8CF79F088}"/>
    <cellStyle name="Currency 2 3" xfId="1303" xr:uid="{36CE5AE6-E3EA-4F32-A5DC-D9758F161B22}"/>
    <cellStyle name="Currency 2 3 2" xfId="1304" xr:uid="{22B7C604-FB82-4210-9FB0-2726EECA2061}"/>
    <cellStyle name="Currency 2 4" xfId="1305" xr:uid="{40B597E2-1C98-4C29-94EF-91D8A821037A}"/>
    <cellStyle name="Currency 2 4 2" xfId="1306" xr:uid="{AFFD97AC-1378-459D-86D2-A23CB422DBA7}"/>
    <cellStyle name="Currency0" xfId="1307" xr:uid="{8A0FC5B3-D120-436E-B921-6DB3F040B332}"/>
    <cellStyle name="Currency0 2" xfId="1308" xr:uid="{A9CA1FEA-5517-4B2A-A9B2-C1B2C55F8A87}"/>
    <cellStyle name="Date" xfId="1309" xr:uid="{6EBF899A-5BEC-4030-A1A7-09EA758E5ADB}"/>
    <cellStyle name="Date 2" xfId="1310" xr:uid="{06DEAC12-0051-464E-A592-66258F3D2406}"/>
    <cellStyle name="Emphasis 1" xfId="1311" xr:uid="{AA601FED-8447-4485-A2B0-1E51E9D75B59}"/>
    <cellStyle name="Emphasis 1 2" xfId="1312" xr:uid="{2838803E-59AF-4100-A68F-99529B866909}"/>
    <cellStyle name="Emphasis 2" xfId="1313" xr:uid="{E2A633E9-899B-409D-BC09-288282E81B78}"/>
    <cellStyle name="Emphasis 2 2" xfId="1314" xr:uid="{45BC1703-41F7-43D7-A770-2BC7E6DA1758}"/>
    <cellStyle name="Emphasis 3" xfId="1315" xr:uid="{0791ED53-CFC4-40C7-AB0D-1C6AEA645E8B}"/>
    <cellStyle name="Emphasis 3 2" xfId="1316" xr:uid="{1F33C6B2-8806-450C-9834-E079198A01C9}"/>
    <cellStyle name="Entered" xfId="1317" xr:uid="{34931968-C776-47F9-BA1D-8D503A159092}"/>
    <cellStyle name="Explanatory Text 2" xfId="1318" xr:uid="{D3824CB5-15D0-486A-97E6-FE3339EDE066}"/>
    <cellStyle name="Explanatory Text 2 2" xfId="1319" xr:uid="{B4543AAE-8A4D-4F76-B355-2BB4147C0CAD}"/>
    <cellStyle name="Explanatory Text 2 3" xfId="1320" xr:uid="{4613F153-BB56-4024-8479-9F094C40CB8C}"/>
    <cellStyle name="Explanatory Text 2 4" xfId="1321" xr:uid="{A9B5BA70-814E-4E64-B79E-D601CE5AAFC2}"/>
    <cellStyle name="Explanatory Text 2 5" xfId="1322" xr:uid="{F884922B-2828-4271-8CE8-493068C7EB84}"/>
    <cellStyle name="Explanatory Text 3" xfId="1323" xr:uid="{60B8E80C-041B-4155-B7B8-6C8439CBB39E}"/>
    <cellStyle name="Explanatory Text 4" xfId="1324" xr:uid="{4A0B885E-B176-4226-BDFE-4DC066B83247}"/>
    <cellStyle name="Explanatory Text 5" xfId="1325" xr:uid="{4E9968E7-158B-40B6-AD28-BB312D24CBB8}"/>
    <cellStyle name="FIGURES" xfId="1326" xr:uid="{74DB230C-8174-4120-BD6C-CF90A6822993}"/>
    <cellStyle name="Fixed" xfId="1327" xr:uid="{DB8D0C92-BDB2-485D-9CD9-DD61283F463C}"/>
    <cellStyle name="Fixed 2" xfId="1328" xr:uid="{65D882CF-93CE-47DB-B338-0E1E6F39A16F}"/>
    <cellStyle name="Good 2" xfId="1329" xr:uid="{B68AC33C-BD82-412D-A19A-816BEAC1B03E}"/>
    <cellStyle name="Good 2 2" xfId="1330" xr:uid="{FDF38627-1B33-455E-964F-935863249418}"/>
    <cellStyle name="Good 2 3" xfId="1331" xr:uid="{6472AFCF-7B4C-43FE-BE34-9270E9ADBAD7}"/>
    <cellStyle name="Good 2 4" xfId="1332" xr:uid="{BA4FAF92-F94F-48DB-AB98-990C4CF1782C}"/>
    <cellStyle name="Good 2 5" xfId="1333" xr:uid="{A0D7575A-5F91-4048-8B88-65ECAADD65A6}"/>
    <cellStyle name="Good 3" xfId="1334" xr:uid="{45C3073A-0E19-453C-BC92-4BB1CA7DC86C}"/>
    <cellStyle name="Good 4" xfId="1335" xr:uid="{E98445D2-1CDC-4724-88B0-65E05AF9AD28}"/>
    <cellStyle name="Good 5" xfId="1336" xr:uid="{70D85B1D-3E27-48B9-9130-89A7C26EF88E}"/>
    <cellStyle name="Grey" xfId="1337" xr:uid="{17762B5F-A555-4400-818E-0DAF85DEEFCA}"/>
    <cellStyle name="Grey 2" xfId="1338" xr:uid="{F93C0288-3A07-4433-9002-BCB61772ECA2}"/>
    <cellStyle name="Header1" xfId="1339" xr:uid="{374118D6-BDA7-4227-90B1-C0E054ADA32E}"/>
    <cellStyle name="Header2" xfId="1340" xr:uid="{9FD24322-CDDF-45FB-9CD2-FDBF6C4076F5}"/>
    <cellStyle name="Heading 1 10" xfId="1341" xr:uid="{E993FF8D-3C4F-4465-B83C-9DF103EC8028}"/>
    <cellStyle name="Heading 1 11" xfId="1342" xr:uid="{DAC0B93D-52C8-4F79-84D6-AFA9670937BF}"/>
    <cellStyle name="Heading 1 12" xfId="1343" xr:uid="{B52D35D7-2EF4-452F-8016-997F5FF412BB}"/>
    <cellStyle name="Heading 1 13" xfId="1344" xr:uid="{0E85A808-D659-4942-A58F-9475234BC6D3}"/>
    <cellStyle name="Heading 1 14" xfId="1345" xr:uid="{A46DCF4F-E6ED-488A-9FE2-F13E4326240B}"/>
    <cellStyle name="Heading 1 15" xfId="1346" xr:uid="{12AD12D6-7461-42BB-8374-ED41D39BFA11}"/>
    <cellStyle name="Heading 1 2" xfId="1347" xr:uid="{40348F32-5936-49E7-9A50-FFB216CDBEAF}"/>
    <cellStyle name="Heading 1 2 2" xfId="1348" xr:uid="{87414CBC-E916-43A8-A3BA-A28C3A921BC1}"/>
    <cellStyle name="Heading 1 2 3" xfId="1349" xr:uid="{2852861F-EF4E-4E30-92DF-B55ECBDD0E3A}"/>
    <cellStyle name="Heading 1 2 4" xfId="1350" xr:uid="{C0EB454C-9DC0-4D31-87FB-19F7B537EF4C}"/>
    <cellStyle name="Heading 1 2 5" xfId="1351" xr:uid="{12F9D98E-9EC4-4526-B5A6-4F2C0A9A5C18}"/>
    <cellStyle name="Heading 1 2 6" xfId="1352" xr:uid="{02611A0F-D8EC-4BA1-9A0B-0E380D8D0199}"/>
    <cellStyle name="Heading 1 3" xfId="1353" xr:uid="{3BFC8D48-68C4-4C82-8581-02F31850B6D3}"/>
    <cellStyle name="Heading 1 3 2" xfId="1354" xr:uid="{885BE59E-DA1C-473D-B007-D3E95DCEBC08}"/>
    <cellStyle name="Heading 1 3 3" xfId="1355" xr:uid="{71C4171A-0E11-45D0-86FC-C2B5A773DF82}"/>
    <cellStyle name="Heading 1 4" xfId="1356" xr:uid="{3CA3A4FF-8FC3-4246-8060-5A39B6E82F17}"/>
    <cellStyle name="Heading 1 4 2" xfId="1357" xr:uid="{53183469-F2B3-4714-AA76-72BC5524AFAA}"/>
    <cellStyle name="Heading 1 4 3" xfId="1358" xr:uid="{CACDCD24-2341-4290-BA67-0852075BEA83}"/>
    <cellStyle name="Heading 1 5" xfId="1359" xr:uid="{2C28A694-AF8C-4ECE-84ED-4F6276E4B130}"/>
    <cellStyle name="Heading 1 5 2" xfId="1360" xr:uid="{ED73D818-994E-4841-B874-70E60C16218C}"/>
    <cellStyle name="Heading 1 5 2 2" xfId="1361" xr:uid="{D57BD6C0-9996-4A31-B080-2E51F382D6E2}"/>
    <cellStyle name="Heading 1 5 3" xfId="1362" xr:uid="{EA61195A-9041-4BAB-852C-9013A0A47AED}"/>
    <cellStyle name="Heading 1 6" xfId="1363" xr:uid="{6B4CEA83-4203-44E8-A10C-93448625366A}"/>
    <cellStyle name="Heading 1 7" xfId="1364" xr:uid="{636DB845-9D72-4ED6-9A72-5BB4879DCFA4}"/>
    <cellStyle name="Heading 1 8" xfId="1365" xr:uid="{85B3C63C-3916-4CA1-99FB-871103BB32E7}"/>
    <cellStyle name="Heading 1 9" xfId="1366" xr:uid="{D571A032-3C5B-43CA-BFA7-9F18A7203551}"/>
    <cellStyle name="Heading 2 10" xfId="1367" xr:uid="{B50BD647-BCC9-4B73-9C02-890CCAF7C21C}"/>
    <cellStyle name="Heading 2 11" xfId="1368" xr:uid="{1EC0BF9A-7ED2-4163-9DD8-148C0F0CFCB3}"/>
    <cellStyle name="Heading 2 12" xfId="1369" xr:uid="{0DF419B4-8C68-47FA-A8EB-895C635AD509}"/>
    <cellStyle name="Heading 2 13" xfId="1370" xr:uid="{18966F3D-40C1-43F0-AA35-C88E52F0EED0}"/>
    <cellStyle name="Heading 2 14" xfId="1371" xr:uid="{DFA24361-1D13-4D7B-81B1-3E3692A89373}"/>
    <cellStyle name="Heading 2 15" xfId="1372" xr:uid="{F7CCDF94-FCE4-4A0F-93A0-E0D0FCABF974}"/>
    <cellStyle name="Heading 2 16" xfId="1373" xr:uid="{656B1516-E800-4489-8893-F383E5BF2F6E}"/>
    <cellStyle name="Heading 2 2" xfId="1374" xr:uid="{509E3E8E-57FA-4C30-AC8B-568F90CB1A90}"/>
    <cellStyle name="Heading 2 2 2" xfId="1375" xr:uid="{959DF2BF-F029-4B6C-81CF-EC7D159B6E14}"/>
    <cellStyle name="Heading 2 2 3" xfId="1376" xr:uid="{80AEA3A3-6F11-4D0D-85C8-281213F7DCB4}"/>
    <cellStyle name="Heading 2 2 4" xfId="1377" xr:uid="{84E81DB0-D3C5-40D9-88E4-ADB10DCA43B1}"/>
    <cellStyle name="Heading 2 2 5" xfId="1378" xr:uid="{8608EE48-4CD8-43A0-8E25-C595744D8123}"/>
    <cellStyle name="Heading 2 2 6" xfId="1379" xr:uid="{EC58BBB4-601E-45E3-813B-F7DDFCCE7AA6}"/>
    <cellStyle name="Heading 2 3" xfId="1380" xr:uid="{8B19619D-F20E-4643-B66A-6E759E8B2E49}"/>
    <cellStyle name="Heading 2 3 2" xfId="1381" xr:uid="{225DBB38-1FAD-43FE-97CE-641F413E4840}"/>
    <cellStyle name="Heading 2 3 3" xfId="1382" xr:uid="{37EDE8D9-E364-4464-9B4E-F0443996F7B2}"/>
    <cellStyle name="Heading 2 4" xfId="1383" xr:uid="{433C1AF9-E156-46AD-8C68-C46C63654669}"/>
    <cellStyle name="Heading 2 4 2" xfId="1384" xr:uid="{12666ED6-0690-4D4A-8744-B5C208D11854}"/>
    <cellStyle name="Heading 2 4 3" xfId="1385" xr:uid="{DF835D1C-E907-4BB0-B6E6-C6604A05D26A}"/>
    <cellStyle name="Heading 2 5" xfId="1386" xr:uid="{95E7D486-515B-47D2-BCB3-437F021AE60F}"/>
    <cellStyle name="Heading 2 5 2" xfId="1387" xr:uid="{3C487590-2387-4A47-AE71-423422D29490}"/>
    <cellStyle name="Heading 2 5 2 2" xfId="1388" xr:uid="{61EDAAA9-426F-49A2-A8F9-4C9FDC34EF9B}"/>
    <cellStyle name="Heading 2 5 3" xfId="1389" xr:uid="{14184645-6517-46F4-926C-AC226C72DF9C}"/>
    <cellStyle name="Heading 2 6" xfId="1390" xr:uid="{44DF31C0-A427-46AB-AAC1-09FFCDBE55AD}"/>
    <cellStyle name="Heading 2 7" xfId="1391" xr:uid="{C3562B8E-B66A-47BA-8ACB-08DD272F04C4}"/>
    <cellStyle name="Heading 2 8" xfId="1392" xr:uid="{E68E532F-FF4D-496C-B155-A66799ACC758}"/>
    <cellStyle name="Heading 2 9" xfId="1393" xr:uid="{5834B49E-26F9-425E-8A15-2AB57AB91AC0}"/>
    <cellStyle name="Heading 3 2" xfId="1394" xr:uid="{F95B40E7-7FDA-4B68-B525-3B3B3725523F}"/>
    <cellStyle name="Heading 3 2 2" xfId="1395" xr:uid="{6CFDEB6F-D0B9-40D2-B175-80CDD14D4530}"/>
    <cellStyle name="Heading 3 2 3" xfId="1396" xr:uid="{77042C1A-2BB7-429D-841D-CC113918DB55}"/>
    <cellStyle name="Heading 3 2 4" xfId="1397" xr:uid="{4936F65C-524E-4B67-8B2B-6DA9218BDB78}"/>
    <cellStyle name="Heading 3 2 5" xfId="1398" xr:uid="{67B67670-6CB0-4F55-8A8B-0435B8A3B46C}"/>
    <cellStyle name="Heading 3 3" xfId="1399" xr:uid="{F451337F-28BD-4589-B136-B42237D2E372}"/>
    <cellStyle name="Heading 3 4" xfId="1400" xr:uid="{20DBEC55-FA35-4121-B763-7CE1FC3BD306}"/>
    <cellStyle name="Heading 3 5" xfId="1401" xr:uid="{1E6D428B-D645-4A3F-AF40-C52822070254}"/>
    <cellStyle name="Heading 4 2" xfId="1402" xr:uid="{B50D596C-8BFE-41F4-BC29-4104DEAA9995}"/>
    <cellStyle name="Heading 4 2 2" xfId="1403" xr:uid="{0B63188B-7DC4-4FD1-8F2B-DB23DD7538FC}"/>
    <cellStyle name="Heading 4 2 3" xfId="1404" xr:uid="{E5F099F6-31C4-43F8-A34A-34C73DF9D1F9}"/>
    <cellStyle name="Heading 4 2 4" xfId="1405" xr:uid="{739FA28B-FA49-41E9-B921-871E2281E734}"/>
    <cellStyle name="Heading 4 2 5" xfId="1406" xr:uid="{B89C83C3-765D-4015-9CAA-767C3451420A}"/>
    <cellStyle name="Heading 4 3" xfId="1407" xr:uid="{32526505-8ED7-4602-93A9-B875F296B70B}"/>
    <cellStyle name="Heading 4 4" xfId="1408" xr:uid="{194E090F-F6AC-43FF-9E01-674A456EA46D}"/>
    <cellStyle name="Heading 4 5" xfId="1409" xr:uid="{C7B3DF1E-2404-4A32-AEAE-C44137368029}"/>
    <cellStyle name="Hyperlink 2" xfId="1410" xr:uid="{E61E660F-00BA-4791-98F6-F8894A552B7F}"/>
    <cellStyle name="Hyperlink 3" xfId="1411" xr:uid="{7451FB46-1161-4330-8FD5-C0882BCD869C}"/>
    <cellStyle name="Input [yellow]" xfId="1412" xr:uid="{D9E9C5D6-8184-4373-A00E-932824D690F5}"/>
    <cellStyle name="Input [yellow] 2" xfId="1413" xr:uid="{8665182B-8DB6-4269-930F-80C8BDBB02B4}"/>
    <cellStyle name="Input 10" xfId="1414" xr:uid="{3B0B7880-A94E-42E2-AB64-5460440711C2}"/>
    <cellStyle name="Input 11" xfId="1415" xr:uid="{DFE6C53D-3275-4EDB-B077-C99B988C4E4D}"/>
    <cellStyle name="Input 12" xfId="1416" xr:uid="{A63820BC-52C6-42F5-A879-50C405B9FD61}"/>
    <cellStyle name="Input 13" xfId="1417" xr:uid="{36BD43D6-9CB9-4A1F-B0ED-2BA22BAFF340}"/>
    <cellStyle name="Input 14" xfId="1418" xr:uid="{595A9EC5-AD81-4B17-ACC7-61D1308E2B08}"/>
    <cellStyle name="Input 15" xfId="1419" xr:uid="{ACBFDD53-25C2-4C67-B592-ABE4ED536D3F}"/>
    <cellStyle name="Input 16" xfId="1420" xr:uid="{62A74A9F-AB92-48D3-9B25-5030C42A8ADF}"/>
    <cellStyle name="Input 17" xfId="1421" xr:uid="{AD117923-8768-4604-A33C-B1EF51C03AD0}"/>
    <cellStyle name="Input 18" xfId="1422" xr:uid="{9BFADA38-5727-463C-8A8E-CB060328FF72}"/>
    <cellStyle name="Input 19" xfId="1423" xr:uid="{7054DB95-B740-49C8-824A-ACC2E866B0FF}"/>
    <cellStyle name="Input 2" xfId="1424" xr:uid="{6A8FA225-DFA9-412E-88E2-FCEB348AF26A}"/>
    <cellStyle name="Input 2 2" xfId="1425" xr:uid="{B1BB2D63-35A8-4B44-B136-3D9ECDD88B5F}"/>
    <cellStyle name="Input 2 3" xfId="1426" xr:uid="{7ED03E37-1E89-46B4-93B9-356EA8BB4AE9}"/>
    <cellStyle name="Input 2 4" xfId="1427" xr:uid="{602B6B30-86EB-41B5-AC32-8F9464F2DA15}"/>
    <cellStyle name="Input 2 5" xfId="1428" xr:uid="{F00F143E-4D19-4A77-882B-F48652478C6F}"/>
    <cellStyle name="Input 20" xfId="1429" xr:uid="{1BDF9D28-9005-4C2E-BCF9-47D8D34B4B2B}"/>
    <cellStyle name="Input 21" xfId="1430" xr:uid="{F6FA3E87-3801-464F-8DAB-791C1E0AB152}"/>
    <cellStyle name="Input 3" xfId="1431" xr:uid="{47A37A4C-5ACB-465D-9BFE-4CED1DB43CE7}"/>
    <cellStyle name="Input 3 2" xfId="1432" xr:uid="{34D035E1-E635-4D19-A71D-D265D118AAF7}"/>
    <cellStyle name="Input 4" xfId="1433" xr:uid="{2F034012-39E9-4CC0-AEB9-3F7C2A80D5BE}"/>
    <cellStyle name="Input 4 2" xfId="1434" xr:uid="{A06953DB-0B6E-40B8-B95B-80F12D7B8884}"/>
    <cellStyle name="Input 5" xfId="1435" xr:uid="{F6E689E3-1B04-4082-89D8-5AFFEF8A5BF3}"/>
    <cellStyle name="Input 6" xfId="1436" xr:uid="{58FAA35E-7C6E-4082-A0B2-804132EFA5FA}"/>
    <cellStyle name="Input 7" xfId="1437" xr:uid="{717F7142-EB6F-4A36-9AD2-57172977F40B}"/>
    <cellStyle name="Input 8" xfId="1438" xr:uid="{527D8D99-5B58-4E75-A033-6E35A7C931CB}"/>
    <cellStyle name="Input 9" xfId="1439" xr:uid="{337FF308-5901-47C9-833D-660B58239AA5}"/>
    <cellStyle name="ITEMS" xfId="1440" xr:uid="{63977EB0-BEFD-4F70-A0CA-1DC6F7E7C2AE}"/>
    <cellStyle name="Linked Cell 2" xfId="1441" xr:uid="{A84FB7AF-ED02-422C-B271-87E4676388A6}"/>
    <cellStyle name="Linked Cell 2 2" xfId="1442" xr:uid="{0CCD8B2A-2155-4AA5-AEBC-9C957AC572DB}"/>
    <cellStyle name="Linked Cell 2 3" xfId="1443" xr:uid="{0CADFEA0-81BA-4414-B9E1-EED0BA37D74C}"/>
    <cellStyle name="Linked Cell 2 4" xfId="1444" xr:uid="{25F0126C-ACBC-4849-B96B-593C1CEF7428}"/>
    <cellStyle name="Linked Cell 2 5" xfId="1445" xr:uid="{39567001-6EF6-421E-BAB6-5D75FFE8E561}"/>
    <cellStyle name="Linked Cell 3" xfId="1446" xr:uid="{8CEAE83F-7E77-48D9-B160-F33483318517}"/>
    <cellStyle name="Linked Cell 4" xfId="1447" xr:uid="{241D433D-476C-490A-AFE8-A681579A9FD3}"/>
    <cellStyle name="Linked Cell 5" xfId="1448" xr:uid="{9CE2225F-8840-4471-A28D-A7D07E8D236A}"/>
    <cellStyle name="m1 - Style1" xfId="1449" xr:uid="{0CF4820E-C23D-442D-9717-9FC787C2729D}"/>
    <cellStyle name="MANKAD" xfId="1450" xr:uid="{B5934500-000D-4888-AF02-EE42E6A37371}"/>
    <cellStyle name="MANKAD 10" xfId="1451" xr:uid="{FF4C097B-8DCE-4256-A269-401244F66EE7}"/>
    <cellStyle name="MANKAD 11" xfId="1452" xr:uid="{316E5767-542B-4464-9753-BEE00E44FDE3}"/>
    <cellStyle name="MANKAD 12" xfId="1453" xr:uid="{9F8EE322-950F-4AEF-B5BB-4881D505C5EB}"/>
    <cellStyle name="MANKAD 13" xfId="1454" xr:uid="{7941B3A4-EDF1-46D6-8915-6422FFBCDC06}"/>
    <cellStyle name="MANKAD 14" xfId="1455" xr:uid="{55C1164A-5DDE-4F8B-8984-2E36677A90F2}"/>
    <cellStyle name="MANKAD 15" xfId="1456" xr:uid="{2E84449D-EC25-4072-9E01-88246CC9DB4F}"/>
    <cellStyle name="MANKAD 16" xfId="1457" xr:uid="{0F83D1FE-F729-4967-89C3-85CF1775B6D4}"/>
    <cellStyle name="MANKAD 17" xfId="1458" xr:uid="{9FE43A6F-45E1-4815-B6D7-6207D5D34636}"/>
    <cellStyle name="MANKAD 18" xfId="1459" xr:uid="{3D814001-0743-441F-951E-726D3D842BDC}"/>
    <cellStyle name="MANKAD 19" xfId="1460" xr:uid="{FA47E224-B98B-4204-86E4-E77CB4110824}"/>
    <cellStyle name="MANKAD 2" xfId="1461" xr:uid="{EE34967F-9C88-4D48-8F29-0A787DEBDF47}"/>
    <cellStyle name="MANKAD 2 2" xfId="1462" xr:uid="{1AE4CB2F-1969-4A01-951C-7322661B09C2}"/>
    <cellStyle name="MANKAD 3" xfId="1463" xr:uid="{50CD5245-F612-4421-A2D5-74CEEC8E210E}"/>
    <cellStyle name="MANKAD 4" xfId="1464" xr:uid="{29F6FB8E-E933-4D02-A31C-68525254978F}"/>
    <cellStyle name="MANKAD 5" xfId="1465" xr:uid="{D02D5CCE-9813-46A4-8190-EAF8D495039F}"/>
    <cellStyle name="MANKAD 6" xfId="1466" xr:uid="{6F570DFC-C75D-422B-94B7-417193D8E041}"/>
    <cellStyle name="MANKAD 7" xfId="1467" xr:uid="{45CBF119-1CC9-4316-87A8-EB0F6F66CE35}"/>
    <cellStyle name="MANKAD 8" xfId="1468" xr:uid="{F1742410-4C55-47D3-9B0E-847662A5DF13}"/>
    <cellStyle name="MANKAD 9" xfId="1469" xr:uid="{BDFF7B28-67C0-4C01-8B14-B6E94FFF5980}"/>
    <cellStyle name="MANKAD_EX.STORAGE.PBU" xfId="1470" xr:uid="{AFACC459-425C-4FAF-9B47-F956804B5E12}"/>
    <cellStyle name="METRO" xfId="1471" xr:uid="{FD0FDDB7-3D7E-4B53-A6BA-9B446E2A6C3F}"/>
    <cellStyle name="METRO 2" xfId="1472" xr:uid="{EE325FD0-8DCC-4225-B8D3-474DDE9EAA29}"/>
    <cellStyle name="Neutral 2" xfId="1473" xr:uid="{AF710CC6-C2D1-4431-9A4D-6A11EF4C1730}"/>
    <cellStyle name="Neutral 2 2" xfId="1474" xr:uid="{FA3F54CA-60C3-4C53-B643-0BCD0815079F}"/>
    <cellStyle name="Neutral 2 3" xfId="1475" xr:uid="{5D14D746-967C-4993-BE7C-FC66F8AB4C7D}"/>
    <cellStyle name="Neutral 2 4" xfId="1476" xr:uid="{603CAD7E-F3BF-47E2-A08F-8F8610B746F9}"/>
    <cellStyle name="Neutral 2 5" xfId="1477" xr:uid="{484D0CDE-D745-4475-900A-BA11A67709E2}"/>
    <cellStyle name="Neutral 3" xfId="1478" xr:uid="{2F38621F-E1B9-4467-AB77-C8A04E3A7015}"/>
    <cellStyle name="Neutral 4" xfId="1479" xr:uid="{F8C53D7F-A75A-4990-9706-01EA87AF6103}"/>
    <cellStyle name="Neutral 5" xfId="1480" xr:uid="{3323C4DE-462F-4055-BF26-407440370986}"/>
    <cellStyle name="no dec" xfId="1481" xr:uid="{E654B23B-77D2-4ACB-B25B-3139BA51D4DE}"/>
    <cellStyle name="no dec 10" xfId="1482" xr:uid="{B0D65E34-19C7-4844-872F-7FD4634E4198}"/>
    <cellStyle name="no dec 11" xfId="1483" xr:uid="{DA00B577-A93E-4C82-9DB6-195EFE0DFA67}"/>
    <cellStyle name="no dec 12" xfId="1484" xr:uid="{FD15DF4C-DBF9-4E14-A099-5049B0864BBD}"/>
    <cellStyle name="no dec 13" xfId="1485" xr:uid="{DC8824C7-1AFD-4993-8498-BE0CFFE279D7}"/>
    <cellStyle name="no dec 14" xfId="1486" xr:uid="{53D4D770-F897-4F49-A24F-90F378191682}"/>
    <cellStyle name="no dec 15" xfId="1487" xr:uid="{ACEF368D-E4FA-4BB1-93FC-648C9F049D41}"/>
    <cellStyle name="no dec 16" xfId="1488" xr:uid="{9EDD86A3-9B74-42E6-A405-17F849F00971}"/>
    <cellStyle name="no dec 17" xfId="1489" xr:uid="{6287B2A8-BE92-4A6E-9381-FC134808CAB9}"/>
    <cellStyle name="no dec 18" xfId="1490" xr:uid="{DF05B076-E054-400C-B607-2B819CB8AE59}"/>
    <cellStyle name="no dec 19" xfId="1491" xr:uid="{C60A5F36-783A-4AC0-8CAE-BA2C00364F47}"/>
    <cellStyle name="no dec 2" xfId="1492" xr:uid="{4C6879E2-F284-44E7-9FE8-86327C33BFC0}"/>
    <cellStyle name="no dec 3" xfId="1493" xr:uid="{61A8CD54-BB9E-461A-B084-6D3B7A2CF73F}"/>
    <cellStyle name="no dec 4" xfId="1494" xr:uid="{F3DEDDF9-A094-48D6-B23E-096D75440F59}"/>
    <cellStyle name="no dec 5" xfId="1495" xr:uid="{6EDF75F7-1070-42BC-91E1-0194960B8F02}"/>
    <cellStyle name="no dec 6" xfId="1496" xr:uid="{A1FF52FA-8B6D-4079-BACD-3D8364986B4C}"/>
    <cellStyle name="no dec 7" xfId="1497" xr:uid="{77F13824-DBF2-4452-8B81-176C27A1290B}"/>
    <cellStyle name="no dec 8" xfId="1498" xr:uid="{A27076D1-E3A6-4635-8CE5-54ECCDF197AB}"/>
    <cellStyle name="no dec 9" xfId="1499" xr:uid="{2074BC6C-E7C3-4D22-B84E-D5CB9BBEB911}"/>
    <cellStyle name="Normal" xfId="0" builtinId="0"/>
    <cellStyle name="Normal - Style1" xfId="1500" xr:uid="{9047A8AF-2150-43BE-89E4-8A3D0DE548D7}"/>
    <cellStyle name="Normal - Style1 10" xfId="1501" xr:uid="{21159CC1-7D07-4733-9996-9A504A074D06}"/>
    <cellStyle name="Normal - Style1 11" xfId="1502" xr:uid="{6E2C49BC-40AE-4C83-8E4A-DBCC0825B957}"/>
    <cellStyle name="Normal - Style1 12" xfId="1503" xr:uid="{0E177DD6-7FAF-44F8-AE14-BC12552896FD}"/>
    <cellStyle name="Normal - Style1 13" xfId="1504" xr:uid="{9F0D67E5-FAE1-4C37-996B-6F2E1393595F}"/>
    <cellStyle name="Normal - Style1 14" xfId="1505" xr:uid="{B00C3A03-1C72-4024-B523-7E5752A32AA8}"/>
    <cellStyle name="Normal - Style1 15" xfId="1506" xr:uid="{D04673C9-6A95-42EA-A1C2-E0CF18BDDA99}"/>
    <cellStyle name="Normal - Style1 16" xfId="1507" xr:uid="{5F19E8AF-C9CF-4C26-9864-F4025FC067C0}"/>
    <cellStyle name="Normal - Style1 17" xfId="1508" xr:uid="{5F75010E-A32E-4BA9-9B24-DB3982D5C2BB}"/>
    <cellStyle name="Normal - Style1 18" xfId="1509" xr:uid="{63E37B0D-EA84-4740-8978-8A1A693B436A}"/>
    <cellStyle name="Normal - Style1 19" xfId="1510" xr:uid="{79EA6923-93D2-4F16-A808-067DB898025D}"/>
    <cellStyle name="Normal - Style1 2" xfId="1511" xr:uid="{E6C9F915-CB22-4001-BFE4-1EA94403EEF5}"/>
    <cellStyle name="Normal - Style1 2 2" xfId="1512" xr:uid="{DCCDE7FB-22BF-4EB3-A0C7-4FF5849D4E9C}"/>
    <cellStyle name="Normal - Style1 2 2 2" xfId="1513" xr:uid="{D61BA5BC-DA55-40CD-9E35-F1BF388B13ED}"/>
    <cellStyle name="Normal - Style1 2 2 2 2" xfId="1514" xr:uid="{3D624040-8DC8-4B8D-BEBA-2065E9B69AA0}"/>
    <cellStyle name="Normal - Style1 2 3" xfId="1515" xr:uid="{A424E934-ECD2-4BA6-B869-FE127F6ED9B3}"/>
    <cellStyle name="Normal - Style1 20" xfId="1516" xr:uid="{05C2F522-93E5-4468-9D06-0FE828614B64}"/>
    <cellStyle name="Normal - Style1 21" xfId="1517" xr:uid="{8F6C6732-FD12-4E6C-BD3B-C74EEBF5953A}"/>
    <cellStyle name="Normal - Style1 22" xfId="1518" xr:uid="{472B9C9C-BA11-4BD9-A9E7-BE2CC600476B}"/>
    <cellStyle name="Normal - Style1 23" xfId="1519" xr:uid="{79D90F9B-4FCE-412B-9B75-03E225A2FB7D}"/>
    <cellStyle name="Normal - Style1 24" xfId="1520" xr:uid="{8090706C-D1E8-4FCC-92DB-CF38319B724B}"/>
    <cellStyle name="Normal - Style1 25" xfId="1521" xr:uid="{50F76CF3-995B-47EA-AFE3-7A7490043797}"/>
    <cellStyle name="Normal - Style1 26" xfId="1522" xr:uid="{E31F365D-9317-4D02-8B60-C9518C3CCEFD}"/>
    <cellStyle name="Normal - Style1 27" xfId="1523" xr:uid="{5E54ED3C-379D-4E20-B1D6-828F96CBBA92}"/>
    <cellStyle name="Normal - Style1 28" xfId="1524" xr:uid="{9C739EF8-9F30-409A-AD7E-06CD66B5CC12}"/>
    <cellStyle name="Normal - Style1 29" xfId="1525" xr:uid="{3BD38503-15BD-4F7C-9D34-06CEE05D614F}"/>
    <cellStyle name="Normal - Style1 3" xfId="1526" xr:uid="{DD09F63D-A1D1-47ED-8A2F-3EB40550CDF6}"/>
    <cellStyle name="Normal - Style1 3 2" xfId="1527" xr:uid="{D640EDB3-FF7A-49CE-8830-64738BF44DCD}"/>
    <cellStyle name="Normal - Style1 30" xfId="1528" xr:uid="{61024A81-5204-49B2-8F62-382C08FDDF6A}"/>
    <cellStyle name="Normal - Style1 31" xfId="1529" xr:uid="{12FB29A0-001D-4CD9-8FA4-1499739E7E3A}"/>
    <cellStyle name="Normal - Style1 32" xfId="1530" xr:uid="{7D6B0EEE-0613-45C0-9C6A-33E1AD38D656}"/>
    <cellStyle name="Normal - Style1 33" xfId="1531" xr:uid="{E23FF4B0-95A9-4F25-8C06-FC0804F6E331}"/>
    <cellStyle name="Normal - Style1 34" xfId="1532" xr:uid="{5570D5AA-E129-4605-B621-F213AF077E67}"/>
    <cellStyle name="Normal - Style1 35" xfId="1533" xr:uid="{234401A1-6950-44DC-A3F2-24E27BCAB5BC}"/>
    <cellStyle name="Normal - Style1 36" xfId="1534" xr:uid="{1F282470-C1F9-4B98-89A2-19E43139A4B3}"/>
    <cellStyle name="Normal - Style1 4" xfId="1535" xr:uid="{A0D79BD8-857C-4718-9F62-AED10B9D1A7B}"/>
    <cellStyle name="Normal - Style1 4 2" xfId="1536" xr:uid="{777BD8F5-0F6B-489C-A01A-4D2EDF14B6DB}"/>
    <cellStyle name="Normal - Style1 5" xfId="1537" xr:uid="{AFE0FAC5-FE31-4715-9D96-23050B1FA515}"/>
    <cellStyle name="Normal - Style1 6" xfId="1538" xr:uid="{D60C6E99-4DA3-41D1-9412-F462083EF911}"/>
    <cellStyle name="Normal - Style1 7" xfId="1539" xr:uid="{EED226A1-4B68-4C9A-AE59-A19CBED8CCBE}"/>
    <cellStyle name="Normal - Style1 8" xfId="1540" xr:uid="{450014D2-E7A4-4C0E-88ED-043D6D25DF93}"/>
    <cellStyle name="Normal - Style1 9" xfId="1541" xr:uid="{B17E5B02-E5D5-4BE7-A6A2-BF81AEF3EFC4}"/>
    <cellStyle name="Normal 10" xfId="1542" xr:uid="{90BACA62-2A5E-43E8-91F9-FD1AF6BFEAE6}"/>
    <cellStyle name="Normal 10 10" xfId="1543" xr:uid="{E0317ADC-5CFD-415C-AC4C-37D09134AAE3}"/>
    <cellStyle name="Normal 10 2" xfId="1544" xr:uid="{9431D169-D065-41DE-B1C1-00739D3ECA3D}"/>
    <cellStyle name="Normal 10 2 2" xfId="1545" xr:uid="{20CF6997-DF7C-4B68-BB82-CE014695413F}"/>
    <cellStyle name="Normal 10 3" xfId="1546" xr:uid="{5498415F-5CAE-40F1-9402-FE1FBC98BC6B}"/>
    <cellStyle name="Normal 10 3 2" xfId="1547" xr:uid="{28C14229-59C9-4348-AB38-39296A72F8E9}"/>
    <cellStyle name="Normal 10 3 2 2" xfId="1548" xr:uid="{92A4089A-B700-4D64-8F48-C813037D23CA}"/>
    <cellStyle name="Normal 10 3 3" xfId="1549" xr:uid="{147398AD-699F-46B4-B51C-DCDEBFB2A650}"/>
    <cellStyle name="Normal 10 3 3 2" xfId="1550" xr:uid="{C30C64B2-45A7-47DE-BB3B-9E128333819C}"/>
    <cellStyle name="Normal 10 3 4" xfId="1551" xr:uid="{65D34CC2-EA7C-4E03-9CB1-AA7A7A8DE2F1}"/>
    <cellStyle name="Normal 10 4" xfId="1552" xr:uid="{2093FA33-8580-4EBC-8E9A-FBFD9436CDA3}"/>
    <cellStyle name="Normal 10 4 2" xfId="1553" xr:uid="{4FB9025A-243B-4BDB-928C-0462FCBF2AE2}"/>
    <cellStyle name="Normal 10 4 2 2" xfId="1554" xr:uid="{A9BEC180-AB75-4D6E-B3D9-02971286B02E}"/>
    <cellStyle name="Normal 10 4 3" xfId="1555" xr:uid="{C5B985A3-3343-45D9-A30C-683AC35E9C42}"/>
    <cellStyle name="Normal 10 5" xfId="1556" xr:uid="{2263D825-595E-462B-A541-EF2FCFA9B2DF}"/>
    <cellStyle name="Normal 10 5 2" xfId="1557" xr:uid="{EEC9D766-F6EB-453D-B505-7B57345FF44C}"/>
    <cellStyle name="Normal 10 5 2 2" xfId="1558" xr:uid="{6E16CDB4-4146-4618-9809-1E7A04CF5317}"/>
    <cellStyle name="Normal 10 5 3" xfId="1559" xr:uid="{F96607D7-7610-469A-91B7-7200ED2DC665}"/>
    <cellStyle name="Normal 10 6" xfId="1560" xr:uid="{1746D026-CCB2-4AEE-ACF7-DF11C42A8C8C}"/>
    <cellStyle name="Normal 10 6 2" xfId="1561" xr:uid="{C6C6B69E-B4A1-4AAE-AF7D-6EFB84A96427}"/>
    <cellStyle name="Normal 10 7" xfId="1562" xr:uid="{2427B11B-FAF6-45AE-9D08-62DC54C0F0A2}"/>
    <cellStyle name="Normal 10 7 2" xfId="1563" xr:uid="{E4FA8AA1-E96D-42D9-9759-CBD028B41CA5}"/>
    <cellStyle name="Normal 10 8" xfId="1564" xr:uid="{4D49DE2B-61C7-465C-81DB-7E3796F5A738}"/>
    <cellStyle name="Normal 10 9" xfId="1565" xr:uid="{7179A8FB-C42A-4EE9-99CC-E79C4C056E36}"/>
    <cellStyle name="Normal 11" xfId="1566" xr:uid="{58CA04C2-C393-4B45-9C2D-58AC5AB978FE}"/>
    <cellStyle name="Normal 11 2" xfId="1567" xr:uid="{6DB25514-72CE-4DCD-AFF7-395D6C7164E9}"/>
    <cellStyle name="Normal 11 2 2" xfId="1568" xr:uid="{968633A1-EB98-4C19-893C-D11F2C73834F}"/>
    <cellStyle name="Normal 11 2 2 2" xfId="1569" xr:uid="{97A459F2-EBF9-4EA9-BA23-8E001A0C7B0F}"/>
    <cellStyle name="Normal 11 2 3" xfId="1570" xr:uid="{E66F3300-DA0D-4356-B95A-8E6E98A6692C}"/>
    <cellStyle name="Normal 11 2 4" xfId="1571" xr:uid="{4FF892F3-9580-4E1B-8186-99C7AD3C8445}"/>
    <cellStyle name="Normal 11 2 5" xfId="1572" xr:uid="{BA155544-0C6D-436B-AF9D-D2197FFE1DB2}"/>
    <cellStyle name="Normal 11 2 6" xfId="1573" xr:uid="{D19B2403-32FF-4AA1-AD3C-014E13CEF666}"/>
    <cellStyle name="Normal 11 3" xfId="1574" xr:uid="{E308E349-33EB-4E64-875A-8113053A7458}"/>
    <cellStyle name="Normal 11 3 2" xfId="1575" xr:uid="{53B09C37-45DE-4669-9AA9-FCCAFBE33D2B}"/>
    <cellStyle name="Normal 11 3 2 2" xfId="1576" xr:uid="{1EF7F4E7-E48B-4928-9088-BBD6515AFDE0}"/>
    <cellStyle name="Normal 11 4" xfId="1577" xr:uid="{A88C86C1-0E1E-4140-873F-E51818C44592}"/>
    <cellStyle name="Normal 11 4 2" xfId="1578" xr:uid="{60B97851-B694-4E08-830B-1D3BAC3F837A}"/>
    <cellStyle name="Normal 11 4 2 2" xfId="1579" xr:uid="{52CBA7A3-D247-46D3-BA84-1F332719AC54}"/>
    <cellStyle name="Normal 112" xfId="1580" xr:uid="{07E42F8B-0625-4EFC-B0C4-C1990C5AAD30}"/>
    <cellStyle name="Normal 12" xfId="1581" xr:uid="{A63EB0BB-56A1-426F-9CC1-03D6D7638D44}"/>
    <cellStyle name="Normal 12 2" xfId="1582" xr:uid="{EB6FB126-3F00-4634-A83A-EB21BDAFD1CD}"/>
    <cellStyle name="Normal 12 2 2" xfId="1583" xr:uid="{A78C2221-905E-4730-9AE2-6F3FCFA3375B}"/>
    <cellStyle name="Normal 12 2 2 2" xfId="1584" xr:uid="{3EB08D24-9E14-403A-A443-5BA6A5D2EE51}"/>
    <cellStyle name="Normal 12 3" xfId="1585" xr:uid="{4F11B981-54AA-43FA-8DF8-D875B609CF86}"/>
    <cellStyle name="Normal 12 3 2" xfId="1586" xr:uid="{B6ABE036-8B32-44D0-A78B-F09A6B8BE910}"/>
    <cellStyle name="Normal 12 3 2 2" xfId="1587" xr:uid="{BDE225DB-E39A-4246-9FB0-8DAEA8D2FAAD}"/>
    <cellStyle name="Normal 12 3 3" xfId="1588" xr:uid="{ED6D8AC4-6F52-4CCF-BAB4-42F04319861C}"/>
    <cellStyle name="Normal 12 3 3 2" xfId="1589" xr:uid="{45B69F30-F6AD-449B-B2D9-D3279A750E57}"/>
    <cellStyle name="Normal 12 3 4" xfId="1590" xr:uid="{4383D0FB-C1EA-4C59-87C0-BDD8A1F4F8A7}"/>
    <cellStyle name="Normal 12 4" xfId="1591" xr:uid="{122B9537-E959-43DD-9405-49184592CB2E}"/>
    <cellStyle name="Normal 12 4 2" xfId="1592" xr:uid="{0306DFF2-A744-48CC-AC0A-B6F2E3718AF8}"/>
    <cellStyle name="Normal 12 5" xfId="1593" xr:uid="{613CB629-60C4-4774-833A-38EDEDD33432}"/>
    <cellStyle name="Normal 12 5 2" xfId="1594" xr:uid="{396FE6AE-302D-4A0E-B296-8A3E4C352A7F}"/>
    <cellStyle name="Normal 12 6" xfId="1595" xr:uid="{72BAB50A-72D6-4BFF-82C8-E16807E1E5F5}"/>
    <cellStyle name="Normal 12 7" xfId="1596" xr:uid="{D56726D1-4669-44DD-A246-1A5BF436657A}"/>
    <cellStyle name="Normal 12 8" xfId="1597" xr:uid="{6ABDBA6A-583B-4128-B92D-93E687687CA6}"/>
    <cellStyle name="Normal 12 9" xfId="1598" xr:uid="{AEACA1CF-D7D8-4331-9A3D-4E1FA608B946}"/>
    <cellStyle name="Normal 13" xfId="1599" xr:uid="{588B761C-1745-4A35-A98C-1243F67CFBF2}"/>
    <cellStyle name="Normal 13 2" xfId="1600" xr:uid="{D343FDB1-6C3E-4E23-8960-7FA335651A3B}"/>
    <cellStyle name="Normal 13 3" xfId="1601" xr:uid="{FB195BE9-2D95-4A78-8465-741DE3ABECC0}"/>
    <cellStyle name="Normal 13 3 2" xfId="1602" xr:uid="{A52E996A-4A9D-4D29-8330-89D4744AE293}"/>
    <cellStyle name="Normal 13 4" xfId="1603" xr:uid="{9EA39DF5-E11C-47C3-84EF-4551D5CA2C87}"/>
    <cellStyle name="Normal 13 4 2" xfId="1604" xr:uid="{75455F7D-F5A1-4897-A09B-5D6F785BBB58}"/>
    <cellStyle name="Normal 13 5" xfId="1605" xr:uid="{1F33B5E0-828F-49CD-8DA6-56F11B77D6D8}"/>
    <cellStyle name="Normal 13 6" xfId="1606" xr:uid="{CDEE080F-9D95-4E94-AEDE-F7554F6C6230}"/>
    <cellStyle name="Normal 13 7" xfId="1607" xr:uid="{16F0694C-B0F9-476F-8805-3A915D6BC791}"/>
    <cellStyle name="Normal 14" xfId="1608" xr:uid="{F89981CA-4EF0-46CB-94CF-FC8FC7132B20}"/>
    <cellStyle name="Normal 14 2" xfId="1609" xr:uid="{179FEE08-3F23-4D98-9A0B-E4DC93B1C3B0}"/>
    <cellStyle name="Normal 14 2 2" xfId="1610" xr:uid="{5E1B7C32-7F03-4C01-8EA0-22EA69B3C077}"/>
    <cellStyle name="Normal 14 2 2 2" xfId="1611" xr:uid="{1BDCDB35-FA0A-41FB-832F-E83EB67698CE}"/>
    <cellStyle name="Normal 14 3" xfId="1612" xr:uid="{75AE1525-389E-44DA-A006-9292BCD2BAFF}"/>
    <cellStyle name="Normal 15" xfId="1613" xr:uid="{2DC798C0-59B0-443C-A419-E9848A033F47}"/>
    <cellStyle name="Normal 15 2" xfId="1614" xr:uid="{83481F5E-E15A-4878-8126-B926016F3FC9}"/>
    <cellStyle name="Normal 15 3" xfId="1615" xr:uid="{78678E95-98D1-491E-A161-59076941A619}"/>
    <cellStyle name="Normal 15 3 2" xfId="1616" xr:uid="{C5E162E9-3F98-49CE-B69A-8BC7BFE096DF}"/>
    <cellStyle name="Normal 15 4" xfId="1617" xr:uid="{8E31F10D-9CFA-4572-BE68-B8219EA64C1A}"/>
    <cellStyle name="Normal 15 4 2" xfId="1618" xr:uid="{BF702155-CBB1-49C4-BD85-67270F8E95DE}"/>
    <cellStyle name="Normal 15 5" xfId="1619" xr:uid="{E0669E4E-130E-45F1-A7A9-AEF85372091A}"/>
    <cellStyle name="Normal 15 6" xfId="1620" xr:uid="{15703982-7016-449B-A9EF-D97B30F93C53}"/>
    <cellStyle name="Normal 15 7" xfId="1621" xr:uid="{976F6D85-C6A4-400A-AC93-036FBDC73B6C}"/>
    <cellStyle name="Normal 16" xfId="1622" xr:uid="{CF140369-D82F-4523-9360-B22F70991213}"/>
    <cellStyle name="Normal 16 2" xfId="1623" xr:uid="{AB4B8396-CF0F-4A00-8670-CD74C772DFDE}"/>
    <cellStyle name="Normal 16 2 2" xfId="1624" xr:uid="{FC96EC9B-CDF3-43C3-A3F8-0B1CC339A818}"/>
    <cellStyle name="Normal 16 3" xfId="1625" xr:uid="{60A369F9-3641-40AF-853C-01A601404037}"/>
    <cellStyle name="Normal 16 4" xfId="1626" xr:uid="{FC226B07-C201-4E16-8E31-FBEF39B01AEE}"/>
    <cellStyle name="Normal 16 5" xfId="1627" xr:uid="{1E7398CA-D4B7-4A00-B9C8-3FB110389028}"/>
    <cellStyle name="Normal 16_2" xfId="1628" xr:uid="{EB4A7582-ED83-4E15-8EA5-6D798E46940D}"/>
    <cellStyle name="Normal 17" xfId="1629" xr:uid="{BA25EF11-2F86-4447-8160-FE0CA4ACB5A4}"/>
    <cellStyle name="Normal 17 2" xfId="1630" xr:uid="{80A36B97-F82D-45FB-A4D5-A8CCE8740621}"/>
    <cellStyle name="Normal 17 2 2" xfId="1631" xr:uid="{6E381DA9-A294-44B1-A8FE-DA3F2B5B6248}"/>
    <cellStyle name="Normal 17 2 2 2" xfId="1632" xr:uid="{D392CA25-7D85-4A78-9366-7A04473C1E79}"/>
    <cellStyle name="Normal 17 2 3" xfId="1633" xr:uid="{FD74A2AD-09F9-46C2-8884-5AFD41A24CC0}"/>
    <cellStyle name="Normal 17 2 3 2" xfId="1634" xr:uid="{304FDFEA-9419-4450-99C9-BA35FCE31A0A}"/>
    <cellStyle name="Normal 17 2 4" xfId="1635" xr:uid="{AE7006AB-B603-4339-AA64-ED0F1B18525E}"/>
    <cellStyle name="Normal 17 3" xfId="1636" xr:uid="{27FF7997-0D9C-4729-832E-1435A995B1F1}"/>
    <cellStyle name="Normal 17 3 2" xfId="1637" xr:uid="{05002125-8625-4069-B4A3-2BFEDADE4A9D}"/>
    <cellStyle name="Normal 17 3 2 2" xfId="1638" xr:uid="{FEECE22D-7838-4BA2-89B2-D31ED687BB2B}"/>
    <cellStyle name="Normal 17 3 3" xfId="1639" xr:uid="{45040472-94EC-41DB-800E-2AAC2B1E79FD}"/>
    <cellStyle name="Normal 17 4" xfId="1640" xr:uid="{5E050AEE-7985-43BB-99B8-255FD9CFD63E}"/>
    <cellStyle name="Normal 17 4 2" xfId="1641" xr:uid="{4664A0D8-E09F-4BD0-B259-9F39124C0613}"/>
    <cellStyle name="Normal 17 5" xfId="1642" xr:uid="{711175FC-3318-431D-A9F6-E1CCFBA5D8A5}"/>
    <cellStyle name="Normal 17 6" xfId="1643" xr:uid="{A78D5003-DB56-4C0F-9612-DFFC586444EB}"/>
    <cellStyle name="Normal 17 7" xfId="1644" xr:uid="{8C74D356-E6B2-4336-9AA4-4CDA3EC0D891}"/>
    <cellStyle name="Normal 17 8" xfId="1645" xr:uid="{76F1366E-CAD9-4F6A-8516-61C9FF9B562B}"/>
    <cellStyle name="Normal 18" xfId="1646" xr:uid="{98C239D3-CE5A-4489-BC7F-857A8977817A}"/>
    <cellStyle name="Normal 18 2" xfId="1647" xr:uid="{919DDE85-FF6D-4629-A102-F32B932DB517}"/>
    <cellStyle name="Normal 18 2 2" xfId="1648" xr:uid="{5499CE6F-3A86-44F9-A63C-4F5B87E96F3E}"/>
    <cellStyle name="Normal 18 2 2 2" xfId="1649" xr:uid="{5051085C-4385-435F-8378-ABE453AE73D6}"/>
    <cellStyle name="Normal 18 2 3" xfId="1650" xr:uid="{C4D372C3-AE39-4214-B8A6-D34FBE4167B4}"/>
    <cellStyle name="Normal 18 2 3 2" xfId="1651" xr:uid="{53C10C10-4DF6-4470-B17B-28655F192F63}"/>
    <cellStyle name="Normal 18 2 4" xfId="1652" xr:uid="{EDADB511-AEB9-45CD-8FEB-A46F0F2D77DE}"/>
    <cellStyle name="Normal 18 3" xfId="1653" xr:uid="{6B5CB60E-027D-4E8C-82FB-02CCFDD770EE}"/>
    <cellStyle name="Normal 18 3 2" xfId="1654" xr:uid="{B531DD7D-1F28-4F18-9D72-59B5E0C39DB4}"/>
    <cellStyle name="Normal 18 3 2 2" xfId="1655" xr:uid="{35154E57-387A-43F6-BA9B-2E165BA3C1BC}"/>
    <cellStyle name="Normal 18 3 3" xfId="1656" xr:uid="{9535A375-8AF1-4E2C-9BA8-A76C95650171}"/>
    <cellStyle name="Normal 18 4" xfId="1657" xr:uid="{73A22B9B-E7C4-4389-8B8A-063D6289776A}"/>
    <cellStyle name="Normal 18 4 2" xfId="1658" xr:uid="{A2D41F4C-1FAF-4DCD-8024-00B6273C4982}"/>
    <cellStyle name="Normal 18 5" xfId="1659" xr:uid="{CC304F04-1CBF-44BD-A511-B0B4E8F6AC7F}"/>
    <cellStyle name="Normal 18 6" xfId="1660" xr:uid="{B2E2379B-B1E8-4AB7-A19E-66E41684BFFF}"/>
    <cellStyle name="Normal 18 7" xfId="1661" xr:uid="{3EF28212-2879-408C-909D-AB83D05328AF}"/>
    <cellStyle name="Normal 18 8" xfId="1662" xr:uid="{C379626D-9961-4B65-9787-495693EC6BD5}"/>
    <cellStyle name="Normal 19" xfId="1663" xr:uid="{08A4FCFF-8E65-4CAA-BD1A-E22D348EE3FA}"/>
    <cellStyle name="Normal 19 2" xfId="1664" xr:uid="{2BF22689-3BDE-45B3-A9E0-7E26382DD70E}"/>
    <cellStyle name="Normal 19 2 2" xfId="1665" xr:uid="{4A096F31-2700-4463-AE9B-BD59EBCFE9E9}"/>
    <cellStyle name="Normal 19 3" xfId="1666" xr:uid="{64CBF371-A601-47D6-BE2B-A8484F9AB91C}"/>
    <cellStyle name="Normal 19 3 2" xfId="1667" xr:uid="{76B9E546-6B1D-407A-AC95-0524FA66B365}"/>
    <cellStyle name="Normal 19 3 2 2" xfId="1668" xr:uid="{74ECD29C-C0CF-4665-AFB4-10A0E101F47C}"/>
    <cellStyle name="Normal 2" xfId="1669" xr:uid="{E80CB5BD-C8FF-4252-AE37-ADB233AB3454}"/>
    <cellStyle name="Normal 2 10" xfId="1670" xr:uid="{F5611E68-EA77-400E-A9AC-857A2702AA11}"/>
    <cellStyle name="Normal 2 2" xfId="1671" xr:uid="{22180AD0-A086-4956-A422-1D738B201F00}"/>
    <cellStyle name="Normal 2 2 10" xfId="1672" xr:uid="{D5B0A275-1558-4D37-AA85-1C8B514B4C37}"/>
    <cellStyle name="Normal 2 2 10 2" xfId="1673" xr:uid="{E71B948B-3962-4D9E-8319-4A800ACA78F2}"/>
    <cellStyle name="Normal 2 2 10 3" xfId="1674" xr:uid="{19695E2B-B292-4D7D-9537-948920000E56}"/>
    <cellStyle name="Normal 2 2 11" xfId="1675" xr:uid="{CFC26A85-4BB5-4CCA-B4B9-CF1A147EB822}"/>
    <cellStyle name="Normal 2 2 12" xfId="1676" xr:uid="{EF84CF15-2CBD-451C-8C79-A7F92372538E}"/>
    <cellStyle name="Normal 2 2 2" xfId="1677" xr:uid="{94793CC8-9DE8-43D8-BB3F-98889FE95004}"/>
    <cellStyle name="Normal 2 2 2 2" xfId="1678" xr:uid="{252C5628-4A97-460D-89BC-E31DEB804FB0}"/>
    <cellStyle name="Normal 2 2 2 2 2" xfId="1679" xr:uid="{F7D4D1EF-B9DE-4B87-96ED-4003128503D8}"/>
    <cellStyle name="Normal 2 2 2 2 2 2" xfId="1680" xr:uid="{CC8DE211-0EAF-4E5F-B280-0F6A383602EC}"/>
    <cellStyle name="Normal 2 2 2 3" xfId="1681" xr:uid="{1E8DA4E3-B71C-43F2-892D-79C864EFA4AD}"/>
    <cellStyle name="Normal 2 2 3" xfId="1682" xr:uid="{15CEBB6E-30D9-4C86-8C25-AD1FD6D2F85F}"/>
    <cellStyle name="Normal 2 2 3 2" xfId="1683" xr:uid="{EEB2AA16-83BF-46C9-88BF-36D65ED9282A}"/>
    <cellStyle name="Normal 2 2 4" xfId="1684" xr:uid="{93D3A0BC-5982-417F-AA9B-A297A7A3D2B5}"/>
    <cellStyle name="Normal 2 2 4 2" xfId="1685" xr:uid="{4331480E-27E2-4FC0-9651-5C8FBA53934F}"/>
    <cellStyle name="Normal 2 2 4 2 2" xfId="1686" xr:uid="{C84704CA-5A46-4CDC-9858-0F69F6C33DCF}"/>
    <cellStyle name="Normal 2 2 4 2 2 2" xfId="1687" xr:uid="{09816CA9-67F8-463C-A08B-33C8DB45C951}"/>
    <cellStyle name="Normal 2 2 4 2 2 2 2" xfId="1688" xr:uid="{8C042E41-7F53-48A2-86F9-6E932D322124}"/>
    <cellStyle name="Normal 2 2 4 2 2 2 2 2" xfId="1689" xr:uid="{8AB17A08-0200-46E5-A988-D5727D42ABE3}"/>
    <cellStyle name="Normal 2 2 4 2 2 2 2 3" xfId="1690" xr:uid="{205210E4-F03C-4C05-9D41-F73DF650C722}"/>
    <cellStyle name="Normal 2 2 4 2 2 2 3" xfId="1691" xr:uid="{F9D3C397-E83B-4FC4-BF30-39BB37CE6068}"/>
    <cellStyle name="Normal 2 2 4 2 2 2 4" xfId="1692" xr:uid="{FF39E13D-D048-4F9E-ACCF-FBABE355A9F5}"/>
    <cellStyle name="Normal 2 2 4 2 2 3" xfId="1693" xr:uid="{E967AD52-F9C5-4C5C-9535-091DE62F340A}"/>
    <cellStyle name="Normal 2 2 4 2 2 3 2" xfId="1694" xr:uid="{235924B6-A009-4F0D-9BB7-D61035B1C312}"/>
    <cellStyle name="Normal 2 2 4 2 2 3 3" xfId="1695" xr:uid="{D11EA40E-6676-4A88-AF46-70B5DD2B3B29}"/>
    <cellStyle name="Normal 2 2 4 2 2 4" xfId="1696" xr:uid="{22EAF5AB-B3F0-44B4-8C84-A3945E097A42}"/>
    <cellStyle name="Normal 2 2 4 2 2 5" xfId="1697" xr:uid="{8F3B47FB-5C99-463B-8786-3ED868375C3D}"/>
    <cellStyle name="Normal 2 2 5" xfId="1698" xr:uid="{1E8847CB-0248-4B65-8125-6E916A287B8A}"/>
    <cellStyle name="Normal 2 2 5 2" xfId="1699" xr:uid="{9EC5EAF0-36F8-4D37-B035-F080706ABE27}"/>
    <cellStyle name="Normal 2 2 6" xfId="1700" xr:uid="{8F2F5FFB-B214-4366-9772-E0E0D589B7EA}"/>
    <cellStyle name="Normal 2 2 6 2" xfId="1701" xr:uid="{F42C6240-69A2-40A3-998C-1A88D5AC09F9}"/>
    <cellStyle name="Normal 2 2 7" xfId="1702" xr:uid="{FDE99DA5-25DE-46C5-9C16-D9992D940C2F}"/>
    <cellStyle name="Normal 2 2 7 2" xfId="1703" xr:uid="{16C9DE20-6FDA-4A7E-BFCB-CB1DF573C281}"/>
    <cellStyle name="Normal 2 2 7 2 2" xfId="1704" xr:uid="{688161D1-CA1F-497E-834E-AD3A68FB7736}"/>
    <cellStyle name="Normal 2 2 7 2 3" xfId="1705" xr:uid="{F2E75642-A063-4792-97F3-4AEDF50DCB80}"/>
    <cellStyle name="Normal 2 2 7 3" xfId="1706" xr:uid="{14AEC27A-1AD2-4E54-85C8-1A80813146F0}"/>
    <cellStyle name="Normal 2 2 7 4" xfId="1707" xr:uid="{9B5E1EF0-3298-4814-95E1-AC26FAF2798F}"/>
    <cellStyle name="Normal 2 2 8" xfId="1708" xr:uid="{56755F7E-8320-483B-B114-C489C46F037A}"/>
    <cellStyle name="Normal 2 2 8 2" xfId="1709" xr:uid="{1E1C2C71-DFE6-40F5-B11B-5FA88573B7C9}"/>
    <cellStyle name="Normal 2 2 8 3" xfId="1710" xr:uid="{34757910-8835-4234-A4C8-C4389FA4F170}"/>
    <cellStyle name="Normal 2 2 9" xfId="1711" xr:uid="{8AC891D9-C10C-44AD-A2BE-8A4BBDF20B33}"/>
    <cellStyle name="Normal 2 2 9 2" xfId="1712" xr:uid="{98C5D957-6E49-436D-AD57-BEC50343D087}"/>
    <cellStyle name="Normal 2 2 9 3" xfId="1713" xr:uid="{898F514F-1F41-486D-B0E3-616CB079B55E}"/>
    <cellStyle name="Normal 2 2_EX.STORAGE.PBU" xfId="1714" xr:uid="{7CFA02F8-DC90-4EDC-9870-E595024AA886}"/>
    <cellStyle name="Normal 2 3" xfId="1715" xr:uid="{E7A4F711-1405-4562-9F63-8D5B48025169}"/>
    <cellStyle name="Normal 2 3 2" xfId="1716" xr:uid="{97102814-2216-4295-B42B-990462131850}"/>
    <cellStyle name="Normal 2 3 2 2" xfId="1717" xr:uid="{6167D876-11D9-4E57-AFB3-6699256DAA22}"/>
    <cellStyle name="Normal 2 3 2 3" xfId="1718" xr:uid="{A97829D7-ADB6-48A2-B297-84F1552C678B}"/>
    <cellStyle name="Normal 2 3 2 4" xfId="1719" xr:uid="{5363FC08-1F15-4EB5-A6CB-942385A89F7B}"/>
    <cellStyle name="Normal 2 3 3" xfId="1720" xr:uid="{2B23F466-9F2D-48D4-88BD-E7E920B8EBED}"/>
    <cellStyle name="Normal 2 3 3 2" xfId="1721" xr:uid="{93664858-9151-4209-91B9-00CE2EC26D98}"/>
    <cellStyle name="Normal 2 3 3 2 2" xfId="1722" xr:uid="{17224CFE-39DB-41C3-98F0-A106ACA60BBF}"/>
    <cellStyle name="Normal 2 3 3 2 2 2" xfId="1723" xr:uid="{C822CC7A-DB7B-4169-A422-C59A4AA9ACA2}"/>
    <cellStyle name="Normal 2 3 3 2 2 2 2" xfId="1724" xr:uid="{23A99DB6-0809-4C08-B4D5-3BA94460FA60}"/>
    <cellStyle name="Normal 2 3 3 2 2 2 2 2" xfId="1725" xr:uid="{62A14F5A-083E-41D1-9751-F4FE7FA83DD6}"/>
    <cellStyle name="Normal 2 3 3 2 2 2 2 3" xfId="1726" xr:uid="{8D447E73-ADFD-4338-8D1A-D8824A6F5B2F}"/>
    <cellStyle name="Normal 2 3 3 2 2 2 3" xfId="1727" xr:uid="{3432FB82-1CA2-41A0-B0B2-0C81B288DA5B}"/>
    <cellStyle name="Normal 2 3 3 2 2 2 4" xfId="1728" xr:uid="{43A743B4-99DF-4523-8580-568D6D44D349}"/>
    <cellStyle name="Normal 2 3 3 2 2 3" xfId="1729" xr:uid="{0C521352-60EB-40F1-8C37-A71BEDF0EF1C}"/>
    <cellStyle name="Normal 2 3 3 2 2 3 2" xfId="1730" xr:uid="{8811BB14-345D-4371-BF5F-2D963DC53519}"/>
    <cellStyle name="Normal 2 3 3 2 2 3 3" xfId="1731" xr:uid="{F123B0F6-8C45-421B-9CF1-5750F4A36F7D}"/>
    <cellStyle name="Normal 2 3 3 2 2 4" xfId="1732" xr:uid="{45DEF6E1-DF2B-403A-A6D3-C9EC06CAB4FA}"/>
    <cellStyle name="Normal 2 3 3 2 2 5" xfId="1733" xr:uid="{B2A16350-8B1A-4836-AAA3-96E2CA052A5F}"/>
    <cellStyle name="Normal 2 3 4" xfId="1734" xr:uid="{EF64E28C-14AD-4543-9775-BB76D56C1CC2}"/>
    <cellStyle name="Normal 2 3 5" xfId="1735" xr:uid="{399174A7-FC7D-494E-9EDE-77235E307AA1}"/>
    <cellStyle name="Normal 2 4" xfId="1736" xr:uid="{755EAADB-8A78-4E2D-891F-DE7C469F2840}"/>
    <cellStyle name="Normal 2 4 2" xfId="1737" xr:uid="{A946CBC3-F293-4C20-B640-37F51396F85E}"/>
    <cellStyle name="Normal 2 4 2 2" xfId="1738" xr:uid="{CE081504-A851-4A02-B2C8-634130B3C5A6}"/>
    <cellStyle name="Normal 2 4 2 2 2" xfId="1739" xr:uid="{D5A55F0A-660C-4B21-A617-DE44D00DB29D}"/>
    <cellStyle name="Normal 2 4 2 3" xfId="1740" xr:uid="{D6A3833D-5636-48CC-AD36-C1B169AB122B}"/>
    <cellStyle name="Normal 2 4 2 3 2" xfId="1741" xr:uid="{A02915BD-B8C5-46B0-B204-0FE5FF18B0A4}"/>
    <cellStyle name="Normal 2 4 2 4" xfId="1742" xr:uid="{36171BB3-C263-438E-9CAC-B9EC4E7BA210}"/>
    <cellStyle name="Normal 2 4 3" xfId="1743" xr:uid="{FED1B5A2-40AA-4B2C-8518-DADC931962E6}"/>
    <cellStyle name="Normal 2 4 3 2" xfId="1744" xr:uid="{DF7FA0DA-6581-4353-B2F7-ED899AD9B71C}"/>
    <cellStyle name="Normal 2 4 3 3" xfId="1745" xr:uid="{D0C6284E-40AE-40DF-89CE-9F3440E1D440}"/>
    <cellStyle name="Normal 2 4 4" xfId="1746" xr:uid="{AA9EC927-9226-4881-813D-3F066AD3FD36}"/>
    <cellStyle name="Normal 2 4 5" xfId="1747" xr:uid="{E526AFF0-F891-446F-A37D-C16E1C009418}"/>
    <cellStyle name="Normal 2 4 5 2" xfId="1748" xr:uid="{16216D86-D022-4E13-8ADE-26209476BB7B}"/>
    <cellStyle name="Normal 2 4 6" xfId="1749" xr:uid="{6E3B604F-B72D-448E-8C18-6EB6BF8A0A74}"/>
    <cellStyle name="Normal 2 5" xfId="1750" xr:uid="{50DC50D5-DF4D-4B09-B174-6BD1ACD7A122}"/>
    <cellStyle name="Normal 2 5 2" xfId="1751" xr:uid="{AA20428F-5782-4CBC-A6BE-A17FC649F34F}"/>
    <cellStyle name="Normal 2 5 2 2" xfId="1752" xr:uid="{C7673212-8D36-44CD-9F60-0B6EF3383AE7}"/>
    <cellStyle name="Normal 2 5 2 2 2" xfId="1753" xr:uid="{99153CEC-F223-4D0C-93F8-E32BD58E2AEF}"/>
    <cellStyle name="Normal 2 5 2 3" xfId="1754" xr:uid="{252C1CC9-F95F-4433-AF9C-9F3F16FAE344}"/>
    <cellStyle name="Normal 2 5 2 3 2" xfId="1755" xr:uid="{842796DF-DAEF-4F07-A5A3-8D4B18011AEC}"/>
    <cellStyle name="Normal 2 5 2 4" xfId="1756" xr:uid="{6404AD2C-5928-40E3-BD25-3E92BFA856C9}"/>
    <cellStyle name="Normal 2 5 3" xfId="1757" xr:uid="{D0C5AB2B-0A77-4FA3-BA18-6B4981689EE3}"/>
    <cellStyle name="Normal 2 5 3 2" xfId="1758" xr:uid="{E0F6EFF6-DBEB-4D8F-96CE-EBEC9B3785B2}"/>
    <cellStyle name="Normal 2 5 3 2 2" xfId="1759" xr:uid="{3806C9E6-252B-4A18-B18E-A58CA31E7AD7}"/>
    <cellStyle name="Normal 2 5 3 3" xfId="1760" xr:uid="{A61272F5-63ED-418E-826B-A72405CE3A0B}"/>
    <cellStyle name="Normal 2 5 4" xfId="1761" xr:uid="{902F9D00-2E50-4C4B-8390-88AA201374EA}"/>
    <cellStyle name="Normal 2 5 4 2" xfId="1762" xr:uid="{49836385-82FB-4DD0-999A-08930C913CA1}"/>
    <cellStyle name="Normal 2 5 5" xfId="1763" xr:uid="{ADB7A684-3C4C-4E0D-8135-A8A7D3FC046F}"/>
    <cellStyle name="Normal 2 5 5 2" xfId="1764" xr:uid="{F95D8D73-6A88-45C6-9D8E-88A160C02591}"/>
    <cellStyle name="Normal 2 5 6" xfId="1765" xr:uid="{8433490C-C1BF-49A2-A613-AE2853573760}"/>
    <cellStyle name="Normal 2 6" xfId="1766" xr:uid="{35FD77C7-2A3C-411D-A8E1-10CD5624FF2F}"/>
    <cellStyle name="Normal 2 6 2" xfId="1767" xr:uid="{A17B3257-D34C-4597-8CF2-81E162E37AC9}"/>
    <cellStyle name="Normal 2 6 2 2" xfId="1768" xr:uid="{329370EC-F19B-4140-8436-A6D00028D62D}"/>
    <cellStyle name="Normal 2 7" xfId="1769" xr:uid="{4B9891BF-A006-42B1-97B0-932E66773B5C}"/>
    <cellStyle name="Normal 2 8" xfId="1770" xr:uid="{B4334523-F26F-4A02-89D3-EC85B120A249}"/>
    <cellStyle name="Normal 2 8 2" xfId="1771" xr:uid="{AED83E49-62FD-4EA3-98EE-6B199D85EC58}"/>
    <cellStyle name="Normal 2 8 2 2" xfId="1772" xr:uid="{9F3DB63D-3B25-49F0-8714-2889F635B797}"/>
    <cellStyle name="Normal 2 8 3" xfId="1773" xr:uid="{FAE3DA81-F17F-4A66-BCCA-421A420D47DB}"/>
    <cellStyle name="Normal 2 8 3 2" xfId="1774" xr:uid="{A0F072C0-B6C4-4DF3-A84B-A5AD53DEE940}"/>
    <cellStyle name="Normal 2 8 3 2 2" xfId="1775" xr:uid="{3EAE208D-AE2C-48A1-86D3-078A323927DD}"/>
    <cellStyle name="Normal 2 8 3 2 2 2" xfId="1776" xr:uid="{AB48F208-07B5-41B2-AC73-C1B73148A319}"/>
    <cellStyle name="Normal 2 8 3 2 2 3" xfId="1777" xr:uid="{BAF94BE4-2133-436E-935C-DDAF118A4B34}"/>
    <cellStyle name="Normal 2 8 3 2 3" xfId="1778" xr:uid="{695F4099-4484-4E9D-A068-1F5C308FD837}"/>
    <cellStyle name="Normal 2 8 3 2 4" xfId="1779" xr:uid="{9C4B3F0A-E271-4B1F-B6BA-544E33708EC5}"/>
    <cellStyle name="Normal 2 8 3 3" xfId="1780" xr:uid="{DDCD91E7-F772-4FC0-9F20-0CA57267A346}"/>
    <cellStyle name="Normal 2 8 3 3 2" xfId="1781" xr:uid="{A4F2E8AA-2F98-4932-8043-BAEE426E4EFB}"/>
    <cellStyle name="Normal 2 8 3 3 3" xfId="1782" xr:uid="{042A3F34-DBFC-4B44-B3D6-1C990B5D64A9}"/>
    <cellStyle name="Normal 2 8 3 4" xfId="1783" xr:uid="{227E00FF-B0FB-4B1E-B987-D5503AD62A38}"/>
    <cellStyle name="Normal 2 8 3 5" xfId="1784" xr:uid="{AEC72879-5D9C-4D10-936D-823B2F788F41}"/>
    <cellStyle name="Normal 2 8 4" xfId="1785" xr:uid="{F2327873-1D40-43AD-B78A-E84EC5B8D7F1}"/>
    <cellStyle name="Normal 2 9" xfId="1786" xr:uid="{885F57A0-5510-4F77-9493-98A23B7B8414}"/>
    <cellStyle name="Normal 2_2" xfId="1787" xr:uid="{852EAEFB-D90F-46AE-B245-4D06C3BEFA25}"/>
    <cellStyle name="Normal 20" xfId="1788" xr:uid="{15BD0B8F-56D5-42BC-A12B-10335A423609}"/>
    <cellStyle name="Normal 20 2" xfId="1789" xr:uid="{159E9E29-FB8B-4C7D-B5B5-0787678B25AA}"/>
    <cellStyle name="Normal 20 2 2" xfId="1790" xr:uid="{4B3BFA1B-C34A-4ED4-A6A2-37E1A6154D58}"/>
    <cellStyle name="Normal 20 3" xfId="1791" xr:uid="{E2A2241B-DAD7-4AB7-9E72-E5A2443D38D0}"/>
    <cellStyle name="Normal 20 3 2" xfId="1792" xr:uid="{3D411F04-3115-4EFC-868F-6DA6EC9D8826}"/>
    <cellStyle name="Normal 20 4" xfId="1793" xr:uid="{CA5063C6-34B7-43F1-B511-CB41936F6A71}"/>
    <cellStyle name="Normal 20 4 2" xfId="1794" xr:uid="{AABEA661-74B9-4AD6-9440-76CACF42FB5B}"/>
    <cellStyle name="Normal 20 5" xfId="1795" xr:uid="{5B1F7ED9-3644-43CA-A2B4-D692056CC039}"/>
    <cellStyle name="Normal 20 6" xfId="1796" xr:uid="{C6A6FB52-64F3-4EB3-96A4-8641C1451785}"/>
    <cellStyle name="Normal 21" xfId="1797" xr:uid="{E5C589AA-6A86-4081-AD74-E926EFFB4D81}"/>
    <cellStyle name="Normal 21 2" xfId="1798" xr:uid="{24C1D82A-23C7-4ADD-9708-D8C50C96E9C0}"/>
    <cellStyle name="Normal 21 2 2" xfId="1799" xr:uid="{C6073554-9256-476E-96EB-01CAA5C3B8EC}"/>
    <cellStyle name="Normal 21 3" xfId="1800" xr:uid="{7D83EA38-EA54-466E-ABE8-98D54240674B}"/>
    <cellStyle name="Normal 21 3 2" xfId="1801" xr:uid="{1922390B-BA8E-42DE-8169-B27F09A02EC2}"/>
    <cellStyle name="Normal 22" xfId="1802" xr:uid="{E94F3A47-267D-4A70-9330-9D7952C9FAEE}"/>
    <cellStyle name="Normal 22 2" xfId="1803" xr:uid="{70B2692C-BCBA-44FE-8F58-192B6A949EBA}"/>
    <cellStyle name="Normal 22 2 2" xfId="1804" xr:uid="{BC67F09C-DDC0-4A3A-8012-378F329AA0DC}"/>
    <cellStyle name="Normal 22 3" xfId="1805" xr:uid="{89C6BCCF-E3E3-4B33-B540-EF06F04889DD}"/>
    <cellStyle name="Normal 22 3 2" xfId="1806" xr:uid="{9356ACD6-AB50-42AC-AF65-B976C8F2B66E}"/>
    <cellStyle name="Normal 23" xfId="1807" xr:uid="{AB6719EC-6913-41B7-BCD9-A24EBC334FA3}"/>
    <cellStyle name="Normal 23 2" xfId="1808" xr:uid="{481CC619-E43F-4D56-86FA-7B0417DB0D09}"/>
    <cellStyle name="Normal 23 2 2" xfId="1809" xr:uid="{C59C2D10-2A39-4AF8-A7AB-A7CE4734625A}"/>
    <cellStyle name="Normal 23 3" xfId="1810" xr:uid="{5369EFF8-4777-43C3-A9D0-9AA7AB6846DF}"/>
    <cellStyle name="Normal 23 3 2" xfId="1811" xr:uid="{A5E5E9F6-6AE5-432C-B699-0B9C2544D8E8}"/>
    <cellStyle name="Normal 23 4" xfId="1812" xr:uid="{3CE32B43-DBF4-4497-9B47-BAAD075ABF46}"/>
    <cellStyle name="Normal 23 4 2" xfId="1813" xr:uid="{47C4F007-DA9E-4730-85F3-2C28AD95A5BB}"/>
    <cellStyle name="Normal 23 5" xfId="1814" xr:uid="{3BEAF3A6-F756-49CC-AF71-420A80A0520D}"/>
    <cellStyle name="Normal 24" xfId="1815" xr:uid="{EAFAA05E-43A4-43EA-BC18-C6B09C6011B9}"/>
    <cellStyle name="Normal 24 2" xfId="1816" xr:uid="{8991CE95-551C-4504-A407-CCB566BF4965}"/>
    <cellStyle name="Normal 24 3" xfId="1817" xr:uid="{CF77B900-9132-43E3-A70A-2DA6320D3122}"/>
    <cellStyle name="Normal 24 3 2" xfId="1818" xr:uid="{527330F0-07F9-46AD-AF2B-2D51310DB722}"/>
    <cellStyle name="Normal 24 4" xfId="1819" xr:uid="{BB509854-322B-44C9-BB01-3E8E79EF1939}"/>
    <cellStyle name="Normal 24 5" xfId="1820" xr:uid="{04BEB6A2-B7F4-4BE3-B8A1-8FEFE0931CDF}"/>
    <cellStyle name="Normal 25" xfId="1821" xr:uid="{20A9AF61-C477-497B-8F46-C9D9E66DED0E}"/>
    <cellStyle name="Normal 25 2" xfId="1822" xr:uid="{3C85B10D-DB55-4DD3-B509-46971A0FBCDA}"/>
    <cellStyle name="Normal 25 2 2" xfId="1823" xr:uid="{1182CFC1-2675-4D56-9603-A6A6EE7F23EB}"/>
    <cellStyle name="Normal 26" xfId="1824" xr:uid="{445C6E02-AEC3-4632-BFAF-22AAB16CE89F}"/>
    <cellStyle name="Normal 26 2" xfId="1825" xr:uid="{BDCECA1B-09D5-4C7E-89F9-14EAA352C458}"/>
    <cellStyle name="Normal 26 2 2" xfId="1826" xr:uid="{61B4F85C-EB29-42BA-9797-32E584FFCB9A}"/>
    <cellStyle name="Normal 26 3" xfId="1827" xr:uid="{0A5B12F0-40A2-4EE4-A405-B6D160161233}"/>
    <cellStyle name="Normal 27" xfId="1828" xr:uid="{105DDC44-634A-4B81-B1B3-3B69CFE3A5D4}"/>
    <cellStyle name="Normal 27 2" xfId="1829" xr:uid="{70358955-FC68-4649-9FC2-3DADC11A149E}"/>
    <cellStyle name="Normal 27 2 2" xfId="1830" xr:uid="{8744C193-DB07-460B-A9E9-8E71F93F27C4}"/>
    <cellStyle name="Normal 27 3" xfId="1831" xr:uid="{69B880D2-4E26-47C1-A9E4-2D51189A5C46}"/>
    <cellStyle name="Normal 28" xfId="1832" xr:uid="{FB52B05C-779F-4031-B074-D40C9A084790}"/>
    <cellStyle name="Normal 28 2" xfId="1833" xr:uid="{367153FB-DA64-41B9-BBE3-EFA233A2B9B1}"/>
    <cellStyle name="Normal 28 2 2" xfId="1834" xr:uid="{E6F4A2AC-391F-411E-BF31-6F470411EF15}"/>
    <cellStyle name="Normal 28 3" xfId="1835" xr:uid="{D20DE619-C305-404C-9684-464A10118EA2}"/>
    <cellStyle name="Normal 29" xfId="1836" xr:uid="{AF3AB6CE-1CDE-4672-8E06-487369F78DD9}"/>
    <cellStyle name="Normal 29 2" xfId="1837" xr:uid="{4FE932A0-73CF-4DE6-902E-60C4F9C9B04C}"/>
    <cellStyle name="Normal 29 2 2" xfId="1838" xr:uid="{41110940-31C5-4B75-8465-38BCDB08235A}"/>
    <cellStyle name="Normal 29 3" xfId="1839" xr:uid="{9D8F7922-9AA2-445A-98E4-65B78A95D019}"/>
    <cellStyle name="Normal 3" xfId="1840" xr:uid="{47558D70-C54B-488F-805B-CE971668C414}"/>
    <cellStyle name="Normal 3 2" xfId="1841" xr:uid="{00D8FF66-4C49-4F1C-B0FC-B3A8DCEAA363}"/>
    <cellStyle name="Normal 3 2 2" xfId="1842" xr:uid="{E7064E1A-CCB5-44A2-A4DE-749B5FAEB829}"/>
    <cellStyle name="Normal 3 2 2 2" xfId="1843" xr:uid="{DF93FF9F-EF5F-47EE-8E2A-B582DA43CE5B}"/>
    <cellStyle name="Normal 3 2 2 3" xfId="1844" xr:uid="{8FB5395A-5761-4E85-AB9E-9A9F73D9A2DD}"/>
    <cellStyle name="Normal 3 2 3" xfId="1845" xr:uid="{B823B147-E6E7-4545-895F-83D82A02BF58}"/>
    <cellStyle name="Normal 3 2 3 2" xfId="1846" xr:uid="{D15AF21C-C339-4D4C-9832-33EEE4C5D163}"/>
    <cellStyle name="Normal 3 2 3 2 2" xfId="1847" xr:uid="{C89B83C1-535C-4DA5-9E25-3E34B3EC90F9}"/>
    <cellStyle name="Normal 3 2 3 2 2 2" xfId="1848" xr:uid="{76C5EACE-8B8B-4BEC-9331-03A7B05A3150}"/>
    <cellStyle name="Normal 3 2 3 2 3" xfId="1849" xr:uid="{7F0E6300-1D14-424D-AEDA-91E2C8EB6D3B}"/>
    <cellStyle name="Normal 3 2 3 3" xfId="1850" xr:uid="{A865CAF0-202D-4CA0-BABC-6C8890C79235}"/>
    <cellStyle name="Normal 3 2 3 3 2" xfId="1851" xr:uid="{C036548B-BD1B-4008-95E7-DD7E3F6F4924}"/>
    <cellStyle name="Normal 3 2 3 3 2 2" xfId="1852" xr:uid="{BDE6BEB8-75F1-439F-876E-409132050556}"/>
    <cellStyle name="Normal 3 2 3 3 2 3" xfId="1853" xr:uid="{D1695D20-A96A-4D8D-AFB3-E30735841B36}"/>
    <cellStyle name="Normal 3 2 3 4" xfId="1854" xr:uid="{3062F54A-081E-468D-81A9-CB9A13CD9E46}"/>
    <cellStyle name="Normal 3 2 3 4 2" xfId="1855" xr:uid="{C68D2447-7323-438D-BE7D-9987D89BCFF5}"/>
    <cellStyle name="Normal 3 2 3 5" xfId="1856" xr:uid="{90A27B91-3A8A-49F3-B75F-57215B24514F}"/>
    <cellStyle name="Normal 3 2 4" xfId="1857" xr:uid="{0E5DDD0E-D0DE-4579-AFDE-FB1C4B05362C}"/>
    <cellStyle name="Normal 3 2 6" xfId="1858" xr:uid="{E94322F0-BD0D-4752-8902-916719AAF4BE}"/>
    <cellStyle name="Normal 3 2 6 2" xfId="1859" xr:uid="{3E54D096-25D2-4612-BF31-CA07E39A5821}"/>
    <cellStyle name="Normal 3 3" xfId="1860" xr:uid="{F31E1E1D-18E6-47D4-87D7-CC284261E60D}"/>
    <cellStyle name="Normal 3 4" xfId="1861" xr:uid="{43ED571D-69BB-4B96-94A3-7AE7157A058B}"/>
    <cellStyle name="Normal 3 4 2" xfId="1862" xr:uid="{58258476-D317-4E74-AF49-068AA11C672A}"/>
    <cellStyle name="Normal 3 5" xfId="1863" xr:uid="{115B37FB-DEB9-4710-A166-87F4D8A6D874}"/>
    <cellStyle name="Normal 3 6" xfId="1864" xr:uid="{1214E7C9-7E90-46BD-AA86-27AF674607BD}"/>
    <cellStyle name="Normal 3 7" xfId="1865" xr:uid="{9C7291AA-1FEB-4965-9CE0-EC808E2F790A}"/>
    <cellStyle name="Normal 3_2" xfId="1866" xr:uid="{A4FEB4EF-5ECA-43DE-A4F0-72B939D1839C}"/>
    <cellStyle name="Normal 30" xfId="1867" xr:uid="{D980664E-E6E8-428E-B44B-7BE87D19FC8B}"/>
    <cellStyle name="Normal 30 2" xfId="1868" xr:uid="{A91D3087-FD40-4582-AB6E-466F6AF6C9EA}"/>
    <cellStyle name="Normal 30 2 2" xfId="1869" xr:uid="{1232D7D1-5302-4124-B000-E7C837B57201}"/>
    <cellStyle name="Normal 30 3" xfId="1870" xr:uid="{2CC4D763-7306-4FA2-920D-1A95D6940FDC}"/>
    <cellStyle name="Normal 31" xfId="1871" xr:uid="{D6D54A7F-3C4A-4E44-8310-39DDA43FE9A6}"/>
    <cellStyle name="Normal 31 2" xfId="1872" xr:uid="{960692C3-D051-4E59-88CD-D86FC2175EFC}"/>
    <cellStyle name="Normal 31 3" xfId="1873" xr:uid="{3B75B308-62B5-4EE4-9F57-031E4446749A}"/>
    <cellStyle name="Normal 31 3 2" xfId="1874" xr:uid="{D5B75BDA-C2AA-402C-B49A-3E4CF85F905C}"/>
    <cellStyle name="Normal 32" xfId="1875" xr:uid="{C0D5F5B4-E0E6-4A63-A7E9-C3774C33B98D}"/>
    <cellStyle name="Normal 32 2" xfId="1876" xr:uid="{1776822B-BBCF-432D-B405-4FFBE6F8BDF1}"/>
    <cellStyle name="Normal 32 3" xfId="1877" xr:uid="{A4CD4AB5-F5BA-43FB-B213-1CB50F4806DC}"/>
    <cellStyle name="Normal 32 3 2" xfId="1878" xr:uid="{55317AB7-BB42-49E7-A846-0DBCE279D465}"/>
    <cellStyle name="Normal 33" xfId="1879" xr:uid="{280AE398-BDDA-40EA-B2DD-E39269029D11}"/>
    <cellStyle name="Normal 33 2" xfId="1880" xr:uid="{B7EE9F34-9702-416E-8FE8-30B47BAF78F1}"/>
    <cellStyle name="Normal 34" xfId="1881" xr:uid="{E312E187-FD6F-4E44-B8FA-443CDC3A437B}"/>
    <cellStyle name="Normal 34 2" xfId="1882" xr:uid="{1DAEF549-342B-43E5-8A67-8EB59894B2A2}"/>
    <cellStyle name="Normal 35" xfId="1883" xr:uid="{FA2F4970-E018-4FA7-85F8-C344D6E35E23}"/>
    <cellStyle name="Normal 35 2" xfId="1884" xr:uid="{376A8AD0-2874-4D37-A206-0563342890FA}"/>
    <cellStyle name="Normal 36" xfId="1885" xr:uid="{FA90923F-978A-4B40-B922-E9E5A4E5AC50}"/>
    <cellStyle name="Normal 36 2" xfId="1886" xr:uid="{E939D8D6-58FD-4644-AF0F-DB008DEF28CD}"/>
    <cellStyle name="Normal 37" xfId="1887" xr:uid="{591EDD8A-C278-4937-A674-A6494B7DC1B9}"/>
    <cellStyle name="Normal 37 2" xfId="1888" xr:uid="{0B9ACB53-DA37-42EB-9F14-A38F8DC07A00}"/>
    <cellStyle name="Normal 38" xfId="1889" xr:uid="{60C044B6-97D0-4054-BC54-13B7CFB16F39}"/>
    <cellStyle name="Normal 38 2" xfId="1890" xr:uid="{B0B07B4A-7EE3-47A6-95EE-80C5610D4F34}"/>
    <cellStyle name="Normal 39" xfId="1891" xr:uid="{4783D07B-439F-4D2C-90BE-B67A7FB0E51D}"/>
    <cellStyle name="Normal 4" xfId="1892" xr:uid="{F10904CD-0AE9-440C-AEF5-2E94D30659EC}"/>
    <cellStyle name="Normal 4 2" xfId="1893" xr:uid="{D8F63C83-6A7C-46D1-A454-B279B9B509EF}"/>
    <cellStyle name="Normal 4 2 2" xfId="1894" xr:uid="{504FA468-5786-41D3-8652-8A9E2230108A}"/>
    <cellStyle name="Normal 4 2 2 2" xfId="1895" xr:uid="{386BD5B7-9709-48B0-8B4A-DE3533099F9C}"/>
    <cellStyle name="Normal 4 2 2 3" xfId="1896" xr:uid="{6D0569EB-4435-4470-9E04-85B093A91F47}"/>
    <cellStyle name="Normal 4 2 2 3 2" xfId="1897" xr:uid="{596FC5E4-51BC-4CD9-89D2-6477AC551B23}"/>
    <cellStyle name="Normal 4 2 2 4" xfId="1898" xr:uid="{980D6BC1-8FE6-47D1-87D2-C22013FE0E2A}"/>
    <cellStyle name="Normal 4 2 3" xfId="1899" xr:uid="{5A0C298B-5B9B-4315-AEF9-DED7AEA73E07}"/>
    <cellStyle name="Normal 4 3" xfId="1900" xr:uid="{F2910BC1-EA82-4537-8089-A83A22A8A7F1}"/>
    <cellStyle name="Normal 4 3 2" xfId="1901" xr:uid="{29BE5B9F-5A69-4554-A89F-C10A2DF0739F}"/>
    <cellStyle name="Normal 4 3 2 2" xfId="1902" xr:uid="{D9E8A129-BCB4-4FDA-B072-884FC00D18E9}"/>
    <cellStyle name="Normal 4 3 3" xfId="1903" xr:uid="{70FD6592-A8FB-44D2-963B-4B07DD788CF9}"/>
    <cellStyle name="Normal 4 4" xfId="1904" xr:uid="{70280076-FD76-4578-9666-82FF4E062BE6}"/>
    <cellStyle name="Normal 4 5" xfId="1905" xr:uid="{FA005DF3-9019-4E16-A527-994AEA42AFEF}"/>
    <cellStyle name="Normal 4 6" xfId="1906" xr:uid="{382D9113-833D-4406-8C71-22CA3210B75E}"/>
    <cellStyle name="Normal 4_2" xfId="1907" xr:uid="{6B056D14-9B3F-478E-88B2-9B95A2E9A045}"/>
    <cellStyle name="Normal 40" xfId="1908" xr:uid="{8B2AC253-01C1-400C-9321-242F0D7EBE5E}"/>
    <cellStyle name="Normal 41" xfId="1909" xr:uid="{C0994E16-B2A4-4DAA-9856-BC83D1871A01}"/>
    <cellStyle name="Normal 41 2" xfId="1910" xr:uid="{8795850B-E9FF-41CD-9347-642C60C84825}"/>
    <cellStyle name="Normal 42" xfId="1911" xr:uid="{8604E23C-1FBD-4399-9FDF-A1EB63AA03D2}"/>
    <cellStyle name="Normal 43" xfId="1912" xr:uid="{A766AB15-2CC4-4B7D-B2E9-3F9CADA9F992}"/>
    <cellStyle name="Normal 44" xfId="1913" xr:uid="{C7DAF1BE-7F60-409A-B8A7-312AC9A1A422}"/>
    <cellStyle name="Normal 45" xfId="1914" xr:uid="{E28AAA41-FB73-4E6E-A393-92B932D08F8B}"/>
    <cellStyle name="Normal 46" xfId="1915" xr:uid="{3F8FC827-BCEA-4CE8-9697-A5CC946E1B23}"/>
    <cellStyle name="Normal 47" xfId="1916" xr:uid="{3B31C492-4833-4804-995C-070C8EC667B3}"/>
    <cellStyle name="Normal 48" xfId="1917" xr:uid="{2A07451B-2C34-4294-853F-65A8BD26DBC4}"/>
    <cellStyle name="Normal 49" xfId="1918" xr:uid="{459F8BF7-F7F8-40D4-A2AE-8AB0BDCFA4BE}"/>
    <cellStyle name="Normal 5" xfId="1919" xr:uid="{734382F2-1BF2-4E4F-B9D1-53E79D9B0705}"/>
    <cellStyle name="Normal 5 2" xfId="1920" xr:uid="{EA181551-99CB-4056-ACBC-EBC0F6D7DA07}"/>
    <cellStyle name="Normal 5 2 2" xfId="1921" xr:uid="{141B9F5D-CAA7-44D6-B123-BD35F153AA33}"/>
    <cellStyle name="Normal 5 2 2 2" xfId="1922" xr:uid="{2E748B4C-F265-4A13-914D-2D45871552C5}"/>
    <cellStyle name="Normal 5 2 3" xfId="1923" xr:uid="{F13EC762-2933-4932-A81E-4E031F016357}"/>
    <cellStyle name="Normal 5 2 4" xfId="1924" xr:uid="{7770C9DB-E2C7-494B-8D8A-BADE87E014F0}"/>
    <cellStyle name="Normal 5 3" xfId="1925" xr:uid="{B779E3CD-3035-494F-AE86-D3CC9F9CCF31}"/>
    <cellStyle name="Normal 5 4" xfId="1926" xr:uid="{B3F91FCB-0532-47AE-B207-89EF94DAD430}"/>
    <cellStyle name="Normal 50" xfId="1927" xr:uid="{043E0184-D96C-4D01-A2F1-FDEB03126B7C}"/>
    <cellStyle name="Normal 51" xfId="1928" xr:uid="{DD592000-1DFC-401C-BC86-A176B2DFE8BC}"/>
    <cellStyle name="Normal 52" xfId="1929" xr:uid="{B25345CB-51D3-4AC6-A471-7DDAA976520A}"/>
    <cellStyle name="Normal 53" xfId="1930" xr:uid="{A2A5472B-BD01-4EF6-BD8B-2E3BA13AA70D}"/>
    <cellStyle name="Normal 54" xfId="1931" xr:uid="{134D952D-ED82-4E5F-8EE8-ED0590789691}"/>
    <cellStyle name="Normal 55" xfId="1932" xr:uid="{97AFA5E6-AA57-481D-B3CE-803D29003E43}"/>
    <cellStyle name="Normal 56" xfId="1933" xr:uid="{53DC3925-D1DD-4732-8F4E-9ED9DDDAEE94}"/>
    <cellStyle name="Normal 57" xfId="1934" xr:uid="{25092057-B9FC-4535-94A2-942068AAFE81}"/>
    <cellStyle name="Normal 58" xfId="1935" xr:uid="{44EA09AD-65DC-416C-BCE8-B8600CC34B18}"/>
    <cellStyle name="Normal 59" xfId="1936" xr:uid="{BC26D207-E47A-4F72-AE1D-A94E0AFB8591}"/>
    <cellStyle name="Normal 6" xfId="1937" xr:uid="{762A5884-7A73-4825-85AC-E23453FB4598}"/>
    <cellStyle name="Normal 6 2" xfId="1938" xr:uid="{D0998E49-94B9-4169-AD9F-D70E705D9D68}"/>
    <cellStyle name="Normal 6 2 2" xfId="1939" xr:uid="{36E7CC36-C7F6-4A54-B305-727C494CBABD}"/>
    <cellStyle name="Normal 6 2 2 2" xfId="1940" xr:uid="{C2E997AF-A39D-4115-BB87-B42766923684}"/>
    <cellStyle name="Normal 6 2 3" xfId="1941" xr:uid="{8B8C1AA8-A8E3-4005-AA35-BA08FEF21601}"/>
    <cellStyle name="Normal 6 2 4" xfId="1942" xr:uid="{D72D64DA-C59B-4763-AEA3-13B96F71D0F6}"/>
    <cellStyle name="Normal 6 3" xfId="1943" xr:uid="{C57C9EAC-F548-4229-9957-BD429F099E4E}"/>
    <cellStyle name="Normal 6 4" xfId="1944" xr:uid="{05DC709D-2183-4F4B-B0DA-8B55AB46B0D4}"/>
    <cellStyle name="Normal 60" xfId="1945" xr:uid="{28230A67-6C0F-4E48-B305-4318F1E4A222}"/>
    <cellStyle name="Normal 61" xfId="1946" xr:uid="{43A473A3-23F0-46D2-9719-FB76C195B4FC}"/>
    <cellStyle name="Normal 62" xfId="1947" xr:uid="{56673B21-E6D5-4129-A39E-CFE472586E2F}"/>
    <cellStyle name="Normal 63" xfId="1948" xr:uid="{1CD05BC7-D63E-4F5B-A33D-ACE4D6F0326E}"/>
    <cellStyle name="Normal 64" xfId="1949" xr:uid="{8D000753-2C70-4E02-A4D9-EE02A102E741}"/>
    <cellStyle name="Normal 65" xfId="1950" xr:uid="{AEE85774-C679-42D1-94C5-711DFBED1711}"/>
    <cellStyle name="Normal 66" xfId="1951" xr:uid="{60EB0DE1-E761-41E4-80E5-2697B69A6915}"/>
    <cellStyle name="Normal 67" xfId="1952" xr:uid="{172DED8C-4102-4018-90A5-6F01F859219F}"/>
    <cellStyle name="Normal 68" xfId="1953" xr:uid="{9D6FC045-60D1-4CB9-B143-BB83BE757A71}"/>
    <cellStyle name="Normal 69" xfId="1954" xr:uid="{2E3C0180-F538-4422-8CED-EC621517DDB3}"/>
    <cellStyle name="Normal 7" xfId="1955" xr:uid="{E2DA9F4C-F513-4F4D-B1C7-290609804BF6}"/>
    <cellStyle name="Normal 7 2" xfId="1956" xr:uid="{47BA7400-70A4-41F8-8EDA-451282EE0477}"/>
    <cellStyle name="Normal 7 2 2" xfId="1957" xr:uid="{3B69924C-5D9A-40F3-BA81-A20CC03FC1D9}"/>
    <cellStyle name="Normal 7 2 3" xfId="1958" xr:uid="{FA8F78CF-302E-4B41-A696-41331434728E}"/>
    <cellStyle name="Normal 7 2 4" xfId="1959" xr:uid="{86ADDAB2-8DCB-4DC5-B4C7-0E0DEB89000E}"/>
    <cellStyle name="Normal 7 3" xfId="1960" xr:uid="{121D1097-DA1C-4CF5-A3C3-1E6D43C416C9}"/>
    <cellStyle name="Normal 7 3 2" xfId="1961" xr:uid="{2604B9D8-073E-4613-8D9A-91E0E0535E5D}"/>
    <cellStyle name="Normal 7 4" xfId="1962" xr:uid="{057061BD-F0B0-4AAD-A488-9FB2971F2452}"/>
    <cellStyle name="Normal 7 4 2" xfId="1963" xr:uid="{7B756393-381F-4431-99EA-CAC5CC4EBBE8}"/>
    <cellStyle name="Normal 7 5" xfId="1964" xr:uid="{0572D68B-6DC0-42AF-8822-97105FC1CF63}"/>
    <cellStyle name="Normal 70" xfId="1965" xr:uid="{27A0C5FE-A1DC-457F-A06C-6FE04FCE061E}"/>
    <cellStyle name="Normal 71" xfId="1966" xr:uid="{E2603534-7B08-43B4-B012-E3192F26A0EF}"/>
    <cellStyle name="Normal 72" xfId="1967" xr:uid="{AC78690C-E7D8-4C6C-96AA-C61D400C3F00}"/>
    <cellStyle name="Normal 73" xfId="1968" xr:uid="{018AC319-43A7-40B4-95E1-C5544BF73C44}"/>
    <cellStyle name="Normal 74" xfId="1969" xr:uid="{FCCD86B9-0056-4E5A-B0B8-ADEBD8199436}"/>
    <cellStyle name="Normal 75" xfId="1970" xr:uid="{61CB1646-62C0-49CE-85B2-DFADCD526A94}"/>
    <cellStyle name="Normal 76" xfId="1971" xr:uid="{8D7F30B8-3854-4E9B-A07A-016B06A758C7}"/>
    <cellStyle name="Normal 77" xfId="1972" xr:uid="{C2440CF3-E762-4C5D-9606-F66EA0429546}"/>
    <cellStyle name="Normal 78" xfId="1973" xr:uid="{17BB2B20-0E9E-486C-A30C-821FDF7E3B9C}"/>
    <cellStyle name="Normal 79" xfId="1974" xr:uid="{E9772220-56FE-43D8-ABA7-711D4D233533}"/>
    <cellStyle name="Normal 8" xfId="1975" xr:uid="{66D9D8CB-75F1-4D72-8B4D-9E8BD293261D}"/>
    <cellStyle name="Normal 8 2" xfId="1976" xr:uid="{06DC69AC-3AED-4595-BDCF-E77AB5212A82}"/>
    <cellStyle name="Normal 8 2 2" xfId="1977" xr:uid="{13129241-5C18-4D25-B20C-5F0B8FAA2195}"/>
    <cellStyle name="Normal 8 2 3" xfId="1978" xr:uid="{CA6B6C53-9DFD-490B-9EA6-2941537F83B0}"/>
    <cellStyle name="Normal 8 2 4" xfId="1979" xr:uid="{E99EB44C-2CE9-4B50-B435-1DB978FADB5C}"/>
    <cellStyle name="Normal 8 3" xfId="1980" xr:uid="{E3E457DF-9F6D-4FA4-8BD2-6932CDFD4B10}"/>
    <cellStyle name="Normal 8 3 2" xfId="1981" xr:uid="{4E7B6E9C-0419-4C35-ACEF-4C0CBF5CC2BF}"/>
    <cellStyle name="Normal 8 4" xfId="1982" xr:uid="{FFCBB7C1-DCD4-4574-BFCC-D06B843006AA}"/>
    <cellStyle name="Normal 8 4 2" xfId="1983" xr:uid="{8A0A8813-D725-4EC4-9D00-03C37A5A03A6}"/>
    <cellStyle name="Normal 8 5" xfId="1984" xr:uid="{700E2E89-3512-44A0-B73C-3311E21B0B6E}"/>
    <cellStyle name="Normal 8 5 2" xfId="1985" xr:uid="{DF540422-8640-44EF-AFAA-C17326BC2E84}"/>
    <cellStyle name="Normal 8 5 2 2" xfId="1986" xr:uid="{EBA5CCEB-DB83-4D37-A196-AD59F0719EB2}"/>
    <cellStyle name="Normal 8 6" xfId="1987" xr:uid="{05F6171E-7231-45BB-AFA2-12FB2D046A7E}"/>
    <cellStyle name="Normal 8 6 2" xfId="1988" xr:uid="{63BA29BA-7ED2-4E77-9957-5C0ED499140A}"/>
    <cellStyle name="Normal 80" xfId="1989" xr:uid="{7FAB1E75-5498-4B42-82D0-9014EC6D0524}"/>
    <cellStyle name="Normal 81" xfId="1990" xr:uid="{9BCCED48-8618-4C93-873B-067B4156FB95}"/>
    <cellStyle name="Normal 82" xfId="1991" xr:uid="{D19713D8-CCF0-42F4-BEC8-0F2542E01ACC}"/>
    <cellStyle name="Normal 83" xfId="1992" xr:uid="{22D430B7-C975-4BB8-928D-C6AC3116439D}"/>
    <cellStyle name="Normal 86" xfId="1993" xr:uid="{A00D2114-8F61-43AA-AEBE-329777C001A8}"/>
    <cellStyle name="Normal 88" xfId="1994" xr:uid="{F5985F4A-F919-4E26-B476-E0FF6376E321}"/>
    <cellStyle name="Normal 9" xfId="1995" xr:uid="{C65062F6-0618-40BF-BB27-7F670AF37930}"/>
    <cellStyle name="Normal 9 2" xfId="1996" xr:uid="{2FDF4DFF-FC84-4D3D-9157-6DD233358174}"/>
    <cellStyle name="Normal 9 2 2" xfId="1997" xr:uid="{FA0081D8-3D51-470E-93C2-3BEEFBB53F4F}"/>
    <cellStyle name="Normal 9 3" xfId="1998" xr:uid="{D8D5E6AF-EDC1-42DE-901F-58A0E1653045}"/>
    <cellStyle name="Normal 9 3 2" xfId="1999" xr:uid="{FD6DDA2F-7AB5-47B8-827A-D7FC7402DB5E}"/>
    <cellStyle name="Normal 9 3 2 2" xfId="2000" xr:uid="{DA233205-FCFD-48CA-A1A5-6BD3B58E2077}"/>
    <cellStyle name="Note 2" xfId="2001" xr:uid="{18489F68-AA3C-440A-8145-D3BA0B54834A}"/>
    <cellStyle name="Note 2 2" xfId="2002" xr:uid="{55E8412C-6866-4B83-A584-CF843852DBF6}"/>
    <cellStyle name="Note 2 2 2" xfId="2003" xr:uid="{F6B8D4BE-9014-4168-9825-56DBE09147B5}"/>
    <cellStyle name="Note 2 2 3" xfId="2004" xr:uid="{4EB4DEB5-9E9A-4CAA-8023-8702E6A9098F}"/>
    <cellStyle name="Note 2 3" xfId="2005" xr:uid="{26D7C972-2998-4D30-AE29-24FFD40DF2F6}"/>
    <cellStyle name="Note 2 4" xfId="2006" xr:uid="{BE428325-11A2-4F07-AF84-E38006875BB9}"/>
    <cellStyle name="Note 2 5" xfId="2007" xr:uid="{02E37564-71CA-47D3-BC2D-1F17E3A6BE6B}"/>
    <cellStyle name="Note 2 5 2" xfId="2008" xr:uid="{8F127A0E-C24F-4BF5-8F5B-C5AAD3BF7759}"/>
    <cellStyle name="Note 2 5 3" xfId="2009" xr:uid="{AFC612EC-9527-4FFB-A96B-184B86FFBCE6}"/>
    <cellStyle name="Note 2 5 3 2" xfId="2010" xr:uid="{382F9BE8-BA7C-493A-A7A4-809236B6BA57}"/>
    <cellStyle name="Note 2 6" xfId="2011" xr:uid="{69D2F686-DA9E-4B55-867C-107D189D982F}"/>
    <cellStyle name="Note 3" xfId="2012" xr:uid="{9B4BED87-E4C3-4D94-98C9-AF0D1AEAC62A}"/>
    <cellStyle name="Note 3 2" xfId="2013" xr:uid="{0FB3BA8C-F880-4615-A4D4-E028D13934A1}"/>
    <cellStyle name="Note 3 3" xfId="2014" xr:uid="{BBC79534-09C2-4276-AF67-20E1B0BEE313}"/>
    <cellStyle name="Note 3 4" xfId="2015" xr:uid="{35BE5805-7C86-4763-8538-09852C89D1D8}"/>
    <cellStyle name="Note 3 5" xfId="2016" xr:uid="{6690E39E-5ADD-45F0-9404-F0A073390CD4}"/>
    <cellStyle name="Note 3 5 2" xfId="2017" xr:uid="{AB132A04-C6D7-4916-BE63-8147C57623AF}"/>
    <cellStyle name="Note 3 5 3" xfId="2018" xr:uid="{815C140F-1456-41A9-8161-AF5FC3869F36}"/>
    <cellStyle name="Note 3 5 3 2" xfId="2019" xr:uid="{D13D5A30-12E7-4659-BAD7-2D237E34219C}"/>
    <cellStyle name="Note 3 6" xfId="2020" xr:uid="{E1F08FD6-B6C9-4084-9943-43F548FA3416}"/>
    <cellStyle name="Note 4" xfId="2021" xr:uid="{CD176BDA-B4EB-4B56-AA30-1A5A13B1AAFD}"/>
    <cellStyle name="Note 4 2" xfId="2022" xr:uid="{A7260369-CAB3-407F-B371-7BFEB3AF99B4}"/>
    <cellStyle name="Note 4 3" xfId="2023" xr:uid="{09F6F413-5F73-48F1-9CE8-EA602AFE9477}"/>
    <cellStyle name="Note 4 4" xfId="2024" xr:uid="{1772B448-64F3-429F-9F72-C3A743C5C6EE}"/>
    <cellStyle name="Note 4 5" xfId="2025" xr:uid="{99B3E3D5-E66C-4E9A-80CB-E6820117807A}"/>
    <cellStyle name="Note 4 5 2" xfId="2026" xr:uid="{80D7F19B-F617-475B-89D6-29A2A1FC048B}"/>
    <cellStyle name="Note 4 5 3" xfId="2027" xr:uid="{5711E334-DD82-4CA2-B1FD-4D110431CC24}"/>
    <cellStyle name="Note 4 5 3 2" xfId="2028" xr:uid="{7A923EE3-97CF-4D69-AF4B-867BBE6D299D}"/>
    <cellStyle name="Note 4 6" xfId="2029" xr:uid="{66302248-6DFA-49E3-A7DC-646B221B8A29}"/>
    <cellStyle name="Note 5" xfId="2030" xr:uid="{4E070716-EE5F-4E03-A23F-48E23CB5D598}"/>
    <cellStyle name="Note 5 2" xfId="2031" xr:uid="{9BA0B98E-2023-4409-9DBE-DDF899D8C529}"/>
    <cellStyle name="Note 6" xfId="2032" xr:uid="{B8741F12-5728-4B9B-B25C-17F6610054C0}"/>
    <cellStyle name="Note 7" xfId="2033" xr:uid="{46F5B0E5-7F57-47AF-ACD9-1F00E95F3EED}"/>
    <cellStyle name="Note 7 2" xfId="2034" xr:uid="{CCB0CA3C-77F6-4BE8-A25B-2C50B520A3FC}"/>
    <cellStyle name="Note 8" xfId="2035" xr:uid="{9D0D281B-EFFE-422E-B41F-656A6AC79C59}"/>
    <cellStyle name="Note 8 2" xfId="2036" xr:uid="{1ED9E84F-606A-42BC-BED0-9AE341F658EB}"/>
    <cellStyle name="Output 2" xfId="2037" xr:uid="{B6ADCDB5-3507-4960-AE98-64F482D1D288}"/>
    <cellStyle name="Output 2 2" xfId="2038" xr:uid="{76A85652-403C-413B-8558-DC4502620377}"/>
    <cellStyle name="Output 2 3" xfId="2039" xr:uid="{5C0CB33C-DA9D-4524-B3DE-CA59CA2D0CD0}"/>
    <cellStyle name="Output 2 4" xfId="2040" xr:uid="{4DE10604-99D1-46E7-B7DA-2925C77E69FD}"/>
    <cellStyle name="Output 2 5" xfId="2041" xr:uid="{91FDC18A-131D-4EE0-A0D6-5679FCE4DE12}"/>
    <cellStyle name="Output 3" xfId="2042" xr:uid="{530FD38E-33AF-4CB1-AEC1-0E73FF760575}"/>
    <cellStyle name="Output 4" xfId="2043" xr:uid="{108CA882-97E5-42BE-B881-D4B3894E4BA8}"/>
    <cellStyle name="Output 5" xfId="2044" xr:uid="{7F06E8AF-8027-422B-B0EA-71F776EF0A70}"/>
    <cellStyle name="P $,(0)" xfId="2045" xr:uid="{A8E77CE3-29F1-431A-A6FE-BF351342D849}"/>
    <cellStyle name="Percent [2]" xfId="2047" xr:uid="{1FBFAEF2-EBC5-408B-BB8F-0346F91603E0}"/>
    <cellStyle name="Percent [2] 10" xfId="2048" xr:uid="{8FA089EB-95B5-496B-A2F4-19DB90FDABFE}"/>
    <cellStyle name="Percent [2] 11" xfId="2049" xr:uid="{F9A85F1D-070E-4565-8B66-185EE5252829}"/>
    <cellStyle name="Percent [2] 12" xfId="2050" xr:uid="{6E7F55D7-3AB4-478A-9540-05E14D4C319D}"/>
    <cellStyle name="Percent [2] 13" xfId="2051" xr:uid="{B3D7DB9D-EB45-4481-8F46-C69F998024EA}"/>
    <cellStyle name="Percent [2] 14" xfId="2052" xr:uid="{8CC921E9-1844-44F0-84CB-2AB9903F4636}"/>
    <cellStyle name="Percent [2] 15" xfId="2053" xr:uid="{955433C8-3641-416B-842A-F6D3BD262F80}"/>
    <cellStyle name="Percent [2] 16" xfId="2054" xr:uid="{423A215F-6BAD-427E-A2D4-F6BE58429AD4}"/>
    <cellStyle name="Percent [2] 17" xfId="2055" xr:uid="{F9C0FFD2-9ACD-4712-9869-EBA800F5D879}"/>
    <cellStyle name="Percent [2] 18" xfId="2056" xr:uid="{DFA479DE-88F0-4494-9411-9423420CA126}"/>
    <cellStyle name="Percent [2] 19" xfId="2057" xr:uid="{359CE32C-AA4E-4162-A218-2A5D6CDD8F4D}"/>
    <cellStyle name="Percent [2] 2" xfId="2058" xr:uid="{41CBA29D-FCB5-433B-B012-86D6D7E33C48}"/>
    <cellStyle name="Percent [2] 2 2" xfId="2059" xr:uid="{B4DC175C-9674-4030-A5A9-069ADA49D387}"/>
    <cellStyle name="Percent [2] 2 2 2" xfId="2060" xr:uid="{7393BB6C-6FD4-41C2-96C3-50BCC55B8465}"/>
    <cellStyle name="Percent [2] 2 3" xfId="2061" xr:uid="{D821F834-4F79-4286-AC53-1DF100263BCA}"/>
    <cellStyle name="Percent [2] 20" xfId="2062" xr:uid="{734BB572-C102-4C27-A2F9-5AE65D3EE7BF}"/>
    <cellStyle name="Percent [2] 21" xfId="2063" xr:uid="{D1181036-0071-4EDD-B4F5-D803D8CB3867}"/>
    <cellStyle name="Percent [2] 22" xfId="2064" xr:uid="{1738F479-7758-4A7C-9EC4-D703DEE87B82}"/>
    <cellStyle name="Percent [2] 23" xfId="2065" xr:uid="{3D5DE6FB-AFF4-4ACD-883A-8EE233D83472}"/>
    <cellStyle name="Percent [2] 24" xfId="2066" xr:uid="{ACFC438B-13DE-4EC5-A3E8-C62301EB0C02}"/>
    <cellStyle name="Percent [2] 25" xfId="2067" xr:uid="{11BDCF1B-C68F-433B-A828-BC7B6D7A9F5E}"/>
    <cellStyle name="Percent [2] 26" xfId="2068" xr:uid="{B6D20D8A-572B-48FC-8692-179FAB41B57D}"/>
    <cellStyle name="Percent [2] 27" xfId="2069" xr:uid="{2B455B8C-1FF2-492F-AA35-8B18D30C07FB}"/>
    <cellStyle name="Percent [2] 28" xfId="2070" xr:uid="{043A56FF-8CC7-4C0C-AA8D-F47F0B5CDD33}"/>
    <cellStyle name="Percent [2] 29" xfId="2071" xr:uid="{BD621EDC-6F42-47B8-BF3A-DD4C08161245}"/>
    <cellStyle name="Percent [2] 3" xfId="2072" xr:uid="{AB50B5C9-F223-4E8C-A491-70DE140E0752}"/>
    <cellStyle name="Percent [2] 30" xfId="2073" xr:uid="{53A0CD80-6D50-4911-9934-1F55B0DDEA5A}"/>
    <cellStyle name="Percent [2] 31" xfId="2074" xr:uid="{2016562F-8A20-446A-8DA6-3CCFB4ABBEEB}"/>
    <cellStyle name="Percent [2] 32" xfId="2075" xr:uid="{CE81E5A6-A696-46C3-9704-77F0A04CE3BD}"/>
    <cellStyle name="Percent [2] 4" xfId="2076" xr:uid="{2F60D177-0D4C-4644-80B4-2BFC291A2410}"/>
    <cellStyle name="Percent [2] 4 2" xfId="2077" xr:uid="{8EE082D6-6521-4C90-BE96-27B09A1C5A6E}"/>
    <cellStyle name="Percent [2] 5" xfId="2078" xr:uid="{331B8F06-CD77-4C4C-849C-0808580DD8DA}"/>
    <cellStyle name="Percent [2] 6" xfId="2079" xr:uid="{E8944B26-5DCA-4A71-86BA-B22A145B5FE4}"/>
    <cellStyle name="Percent [2] 7" xfId="2080" xr:uid="{1B03C2F2-6AA4-4471-A993-11E40EC61189}"/>
    <cellStyle name="Percent [2] 8" xfId="2081" xr:uid="{8848C8A3-6DF2-4598-B8C6-979CA7FCE122}"/>
    <cellStyle name="Percent [2] 9" xfId="2082" xr:uid="{22466136-62D2-4BF9-BD78-A51919999C65}"/>
    <cellStyle name="Percent 10" xfId="2083" xr:uid="{09F1157D-18E0-415D-8AEF-A15E0946EF2A}"/>
    <cellStyle name="Percent 10 2" xfId="2084" xr:uid="{D52AB161-102B-4799-A4EF-0D4CA7E1AE34}"/>
    <cellStyle name="Percent 10 2 2" xfId="2085" xr:uid="{5657013D-6F70-447E-81A0-84727DB58968}"/>
    <cellStyle name="Percent 10 2 2 2" xfId="2086" xr:uid="{E4D01182-FCAE-4E73-9AC9-671B5B78C112}"/>
    <cellStyle name="Percent 10 2 2 2 2" xfId="2087" xr:uid="{858DD904-ABBF-4C29-8139-4F036C6A84A6}"/>
    <cellStyle name="Percent 10 2 2 2 2 2" xfId="2088" xr:uid="{936394D5-9BD8-4C8C-9FDC-06AA1F754C76}"/>
    <cellStyle name="Percent 10 2 2 2 2 3" xfId="2089" xr:uid="{31538560-9D6F-45BB-BB01-5C2E95D2AAF0}"/>
    <cellStyle name="Percent 10 2 2 2 2 3 2" xfId="2090" xr:uid="{60E9DBE3-DC93-4B5C-ACAE-2EBBAEC4E03B}"/>
    <cellStyle name="Percent 10 2 2 2 3" xfId="2091" xr:uid="{52B50F66-A277-4519-B930-5AE7AA8453AF}"/>
    <cellStyle name="Percent 10 2 2 2 4" xfId="2092" xr:uid="{570BC2ED-29B2-44AF-99E8-E80C99C2A09F}"/>
    <cellStyle name="Percent 10 2 2 2 4 2" xfId="2093" xr:uid="{050BAF30-E19A-466B-BE2C-0889E766FD5F}"/>
    <cellStyle name="Percent 10 2 2 3" xfId="2094" xr:uid="{83D99524-F30D-469C-9253-D34A412A2ADC}"/>
    <cellStyle name="Percent 10 2 2 3 2" xfId="2095" xr:uid="{526A9AA1-49BA-4416-AB99-01623D47EDC6}"/>
    <cellStyle name="Percent 10 2 2 3 2 2" xfId="2096" xr:uid="{AFE8F808-A417-440A-9081-723F3ACD999B}"/>
    <cellStyle name="Percent 10 2 2 3 2 3" xfId="2097" xr:uid="{83C42CFD-516F-431B-9FBE-6D3DFEBF54CF}"/>
    <cellStyle name="Percent 10 2 2 3 2 3 2" xfId="2098" xr:uid="{6BF0BC9B-6D4F-4E00-BC5F-C7883F7DD3CC}"/>
    <cellStyle name="Percent 10 2 2 3 3" xfId="2099" xr:uid="{48C26AB1-323F-4F6E-AA96-972DCED37233}"/>
    <cellStyle name="Percent 10 2 2 3 4" xfId="2100" xr:uid="{925389DD-C2F5-48F6-9DF5-B01A9915AC4F}"/>
    <cellStyle name="Percent 10 2 2 3 4 2" xfId="2101" xr:uid="{C318EBA1-6664-451A-8B6A-DB147CE71386}"/>
    <cellStyle name="Percent 10 2 2 4" xfId="2102" xr:uid="{091E5E23-AD46-444A-ABF4-2782C9BC08C3}"/>
    <cellStyle name="Percent 10 2 2 4 2" xfId="2103" xr:uid="{024AA4BC-E857-4C34-B949-09F7C957AE2F}"/>
    <cellStyle name="Percent 10 2 2 4 3" xfId="2104" xr:uid="{55B15A01-CDD9-4237-9581-579877860D06}"/>
    <cellStyle name="Percent 10 2 2 4 3 2" xfId="2105" xr:uid="{847C4989-99C6-411E-8942-CE997228A0B0}"/>
    <cellStyle name="Percent 10 2 2 5" xfId="2106" xr:uid="{ECFB695B-4DAA-48DC-B2A1-15CE4CC0BC40}"/>
    <cellStyle name="Percent 10 2 2 6" xfId="2107" xr:uid="{82948744-9388-4EDF-B944-925FC50BA621}"/>
    <cellStyle name="Percent 10 2 2 6 2" xfId="2108" xr:uid="{B6606343-3084-4EAF-A62A-5E4EE1D59228}"/>
    <cellStyle name="Percent 10 2 3" xfId="2109" xr:uid="{EF595834-8BCC-48D2-B3DD-63C726CCC6E2}"/>
    <cellStyle name="Percent 10 2 3 2" xfId="2110" xr:uid="{AAF621B5-2320-4B98-ACCE-644B61240A71}"/>
    <cellStyle name="Percent 10 2 3 2 2" xfId="2111" xr:uid="{30FF7C38-E15F-4B17-8729-9CB10370173F}"/>
    <cellStyle name="Percent 10 2 3 2 3" xfId="2112" xr:uid="{E2DDDFB2-BD16-4271-94FB-638AA491B30B}"/>
    <cellStyle name="Percent 10 2 3 3" xfId="2113" xr:uid="{B6973AD6-11FB-4DDE-B570-6785CAFE2544}"/>
    <cellStyle name="Percent 10 2 3 4" xfId="2114" xr:uid="{30F6D684-CF54-4F1F-8194-61DB7FDD2B64}"/>
    <cellStyle name="Percent 10 2 4" xfId="2115" xr:uid="{E5B5EC99-0247-4C94-82CE-10045994FAF1}"/>
    <cellStyle name="Percent 10 2 4 2" xfId="2116" xr:uid="{050F2500-C322-47A3-8791-E1A99883C19C}"/>
    <cellStyle name="Percent 10 2 4 3" xfId="2117" xr:uid="{6CB48947-1B31-493E-9612-0BEF165681FC}"/>
    <cellStyle name="Percent 10 2 5" xfId="2118" xr:uid="{F0D47FED-412A-4D68-8009-FA7587328AED}"/>
    <cellStyle name="Percent 10 2 6" xfId="2119" xr:uid="{F72DE05C-6C44-43D2-9CFA-DA026E1D2AD8}"/>
    <cellStyle name="Percent 10 3" xfId="2120" xr:uid="{37B69FEA-622E-48B4-AEED-D484BBDB390F}"/>
    <cellStyle name="Percent 10 4" xfId="2121" xr:uid="{38DD549A-08DB-4950-9EF6-E8C89A703D82}"/>
    <cellStyle name="Percent 10 4 2" xfId="2122" xr:uid="{B119C6CD-F0DC-4A63-A062-C7E9C1ADE2E6}"/>
    <cellStyle name="Percent 10 4 2 2" xfId="2123" xr:uid="{5A1F2A84-B809-4441-870A-CB8F6ACB6F99}"/>
    <cellStyle name="Percent 10 4 2 3" xfId="2124" xr:uid="{A33A09D7-82C3-460D-A610-322464868D29}"/>
    <cellStyle name="Percent 10 4 3" xfId="2125" xr:uid="{8AE189D2-7591-4173-B289-5A34389F4B75}"/>
    <cellStyle name="Percent 10 4 4" xfId="2126" xr:uid="{53F3C0B2-BCE0-424C-9460-0CEAD303A892}"/>
    <cellStyle name="Percent 10 5" xfId="2127" xr:uid="{60346990-4158-4253-BDA8-7851BDEE8D22}"/>
    <cellStyle name="Percent 10 5 2" xfId="2128" xr:uid="{E0E1ED46-6D08-4865-B82E-DCF1B09F6B89}"/>
    <cellStyle name="Percent 10 5 3" xfId="2129" xr:uid="{3F073274-EF5E-493F-9CBD-C888BD9867E9}"/>
    <cellStyle name="Percent 10 6" xfId="2130" xr:uid="{3E8421D4-451B-4174-B57F-439ABC628E62}"/>
    <cellStyle name="Percent 10 7" xfId="2131" xr:uid="{44042274-A039-4C08-9530-65A62A68A4A2}"/>
    <cellStyle name="Percent 11" xfId="2132" xr:uid="{3B5ECC45-73AE-4F5D-96AB-D05A63EF5DBE}"/>
    <cellStyle name="Percent 11 2" xfId="2133" xr:uid="{E035ED90-1F7F-4000-B37D-71778411D32A}"/>
    <cellStyle name="Percent 11 3" xfId="2134" xr:uid="{F8CADC73-E82D-46C4-850D-23B0623BE909}"/>
    <cellStyle name="Percent 12" xfId="2135" xr:uid="{6270876A-30F2-4493-905B-42246C916032}"/>
    <cellStyle name="Percent 12 2" xfId="2136" xr:uid="{08401E35-E9A9-435C-A42E-2A964951FECD}"/>
    <cellStyle name="Percent 12 2 3" xfId="2137" xr:uid="{1FEA784B-7582-45E5-A509-785D79007130}"/>
    <cellStyle name="Percent 12 3" xfId="2138" xr:uid="{E4676A37-D8F7-4BE7-8860-F7FBF64038D8}"/>
    <cellStyle name="Percent 12 3 2" xfId="2139" xr:uid="{02A8E9CA-F3EF-45A4-8727-9E6B7FF30504}"/>
    <cellStyle name="Percent 13" xfId="2140" xr:uid="{FB4EC6A0-D3A8-497D-A0F5-A375D60E475B}"/>
    <cellStyle name="Percent 13 2" xfId="2141" xr:uid="{BCF34632-C8CE-4CA4-8387-2C5F45CE30D8}"/>
    <cellStyle name="Percent 14" xfId="2142" xr:uid="{58F6ECB5-BC63-4F09-AA64-B5F20E0EC17B}"/>
    <cellStyle name="Percent 14 2" xfId="2143" xr:uid="{FC22F4F0-3DF7-47D4-9C5D-A7759D656CF3}"/>
    <cellStyle name="Percent 15" xfId="2144" xr:uid="{D66751BE-3C5D-4F8F-9E59-DAD11D7E7287}"/>
    <cellStyle name="Percent 16" xfId="2145" xr:uid="{C9866AA9-D806-4D68-9CBD-74BB610057CD}"/>
    <cellStyle name="Percent 17" xfId="2146" xr:uid="{07EFE5CC-5FE5-4731-BCD3-3C96864CF832}"/>
    <cellStyle name="Percent 18" xfId="2147" xr:uid="{E3E4B7EB-1A38-473F-B4C7-92E12AFB2ED0}"/>
    <cellStyle name="Percent 19" xfId="2148" xr:uid="{BB71A60B-0D86-41BE-85A8-CB1DFE944295}"/>
    <cellStyle name="Percent 2" xfId="2149" xr:uid="{5762D3E0-80E0-4D6C-BCCA-D4D5C6D4D701}"/>
    <cellStyle name="Percent 2 2" xfId="2150" xr:uid="{78B375AD-36BB-4C27-BD9F-4E1DD5DD32AD}"/>
    <cellStyle name="Percent 2 2 2" xfId="2151" xr:uid="{E62E0840-73DD-4ACE-870A-683AEA8D2C68}"/>
    <cellStyle name="Percent 2 2 2 2" xfId="2152" xr:uid="{D0A7AE86-F12F-49D3-AEDF-C74EFA81BA44}"/>
    <cellStyle name="Percent 2 2 3" xfId="2153" xr:uid="{EDE20A1D-C9B1-4524-B313-101F69231105}"/>
    <cellStyle name="Percent 2 2 3 2" xfId="2154" xr:uid="{E73F779D-3ECB-4D26-83AF-8F02F3FD41DC}"/>
    <cellStyle name="Percent 2 2 3 2 2" xfId="2155" xr:uid="{31889CB3-9E63-435E-903A-B62797AFFE76}"/>
    <cellStyle name="Percent 2 2 3 2 2 2" xfId="2156" xr:uid="{2750D301-70CF-4E74-AB01-350F1CF4D8F5}"/>
    <cellStyle name="Percent 2 2 3 2 2 3" xfId="2157" xr:uid="{B9E0D590-F364-4CC6-959C-A4097B30C76F}"/>
    <cellStyle name="Percent 2 2 3 2 3" xfId="2158" xr:uid="{BD886A8B-7171-4106-8BDF-8CE9CC280D44}"/>
    <cellStyle name="Percent 2 2 3 2 4" xfId="2159" xr:uid="{DBF133A1-0084-476E-B636-13E0B6F198C3}"/>
    <cellStyle name="Percent 2 2 3 3" xfId="2160" xr:uid="{6EB1B1AA-645C-41A8-BA4A-CDFB1236F038}"/>
    <cellStyle name="Percent 2 2 3 3 2" xfId="2161" xr:uid="{214C8A09-BBFF-4798-A132-1C2B16B045EF}"/>
    <cellStyle name="Percent 2 2 3 3 3" xfId="2162" xr:uid="{BB35A3B1-1390-44C8-8C8F-56150502C868}"/>
    <cellStyle name="Percent 2 2 3 4" xfId="2163" xr:uid="{41C55563-9369-401A-A2CD-C3DA368FB77A}"/>
    <cellStyle name="Percent 2 2 3 5" xfId="2164" xr:uid="{CE4D15E1-6E32-4DDB-9698-5F791E3FD33C}"/>
    <cellStyle name="Percent 2 3" xfId="2165" xr:uid="{E0EC70E7-10BC-476D-B085-A356AF3E1902}"/>
    <cellStyle name="Percent 2 3 2" xfId="2166" xr:uid="{AC13D7AF-1EF9-4412-8D6E-D24E03C740BD}"/>
    <cellStyle name="Percent 2 3 2 2" xfId="2167" xr:uid="{35FE27BF-0576-4970-A18F-80D04BBB8386}"/>
    <cellStyle name="Percent 2 3 2 2 2" xfId="2168" xr:uid="{B4588DC4-553A-438E-95AF-9BEA92A2E852}"/>
    <cellStyle name="Percent 2 3 2 2 2 2" xfId="2169" xr:uid="{0087F2D1-D377-4678-875E-FE50BF769216}"/>
    <cellStyle name="Percent 2 3 2 2 2 3" xfId="2170" xr:uid="{45C61B10-F502-47D7-BB15-06F1753A01F9}"/>
    <cellStyle name="Percent 2 3 2 2 3" xfId="2171" xr:uid="{A13E2112-40FE-48FF-AF55-C6EB1A76B5ED}"/>
    <cellStyle name="Percent 2 3 2 2 4" xfId="2172" xr:uid="{C67FA505-5F6F-4A7D-8FF9-06FA756D26E3}"/>
    <cellStyle name="Percent 2 3 2 3" xfId="2173" xr:uid="{08DD90C4-9A3F-47F0-B352-442A850DC59A}"/>
    <cellStyle name="Percent 2 3 2 3 2" xfId="2174" xr:uid="{4077EC8E-5353-4D6A-AACC-EE947F58C2E7}"/>
    <cellStyle name="Percent 2 3 2 3 3" xfId="2175" xr:uid="{553333E9-957C-46F2-972A-D97D92265AC1}"/>
    <cellStyle name="Percent 2 3 2 4" xfId="2176" xr:uid="{171C2313-B844-4189-8567-BE757BF3C41C}"/>
    <cellStyle name="Percent 2 3 2 5" xfId="2177" xr:uid="{723ECB7C-F8F1-4B73-80A0-F10ECEA8C490}"/>
    <cellStyle name="Percent 2 4" xfId="2178" xr:uid="{3A01E20F-4D02-422A-BA60-DB7EB2FEC961}"/>
    <cellStyle name="Percent 20" xfId="2179" xr:uid="{29F0524A-5FAA-4602-A6C2-85CF0F30E846}"/>
    <cellStyle name="Percent 21" xfId="2180" xr:uid="{C1DF7EDC-5A2C-46BF-8507-FD8111AF5CE7}"/>
    <cellStyle name="Percent 22" xfId="2181" xr:uid="{914789C2-2568-4985-8778-B52C6D407D83}"/>
    <cellStyle name="Percent 22 2" xfId="2182" xr:uid="{FFB318A9-979F-4073-ACF2-8AA6A943CABB}"/>
    <cellStyle name="Percent 22 3" xfId="2183" xr:uid="{BD1C6492-5BD2-4963-A1F4-908CDE7283F0}"/>
    <cellStyle name="Percent 22 3 2" xfId="2184" xr:uid="{CAE8537F-6603-4B76-BE60-7DF5C16444A2}"/>
    <cellStyle name="Percent 23" xfId="2185" xr:uid="{15E6305B-7F22-41B0-997E-145F08AA0B2D}"/>
    <cellStyle name="Percent 23 2" xfId="2186" xr:uid="{4291FFA4-225D-408F-A638-E9BBECAA3CD5}"/>
    <cellStyle name="Percent 23 3" xfId="2187" xr:uid="{384492BE-30F9-41D5-B7ED-7B8A4D67941A}"/>
    <cellStyle name="Percent 23 3 2" xfId="2188" xr:uid="{4FFD89DE-62BA-468B-8AA7-2DDBC07908D4}"/>
    <cellStyle name="Percent 24" xfId="2189" xr:uid="{65799154-DF71-4004-BDC1-F15EFBE06B28}"/>
    <cellStyle name="Percent 24 2" xfId="2190" xr:uid="{E750E36D-AC61-4978-9440-DF87A6AC4E59}"/>
    <cellStyle name="Percent 24 3" xfId="2191" xr:uid="{62CDBFE6-4E82-48D0-A70E-075C1799F309}"/>
    <cellStyle name="Percent 24 3 2" xfId="2192" xr:uid="{CC21BB6F-C7A8-41B4-8281-FF2195AC2209}"/>
    <cellStyle name="Percent 25" xfId="2193" xr:uid="{D7D41868-D433-48BA-ADAE-3398DE59EA81}"/>
    <cellStyle name="Percent 25 2" xfId="2194" xr:uid="{22940888-9D19-46C6-A7C5-92D25F0C29C2}"/>
    <cellStyle name="Percent 25 3" xfId="2195" xr:uid="{D44E43C5-880D-46E0-B739-65AF45F0B526}"/>
    <cellStyle name="Percent 25 3 2" xfId="2196" xr:uid="{4D94646B-EEBD-4544-B721-3FEF0FF16CFE}"/>
    <cellStyle name="Percent 26" xfId="2197" xr:uid="{90CF2095-D778-4725-8956-81B0C1FC94E2}"/>
    <cellStyle name="Percent 26 2" xfId="2198" xr:uid="{A293A918-E31C-4343-A564-B7F0D6A67904}"/>
    <cellStyle name="Percent 26 3" xfId="2199" xr:uid="{C762737E-4305-4BD7-A160-339876C0756A}"/>
    <cellStyle name="Percent 26 3 2" xfId="2200" xr:uid="{6BB5BDBB-DCBE-4AC0-A558-F7CF93A0CA14}"/>
    <cellStyle name="Percent 27" xfId="2201" xr:uid="{845D1B93-6B8B-4567-A93C-D50E2C892D7D}"/>
    <cellStyle name="Percent 27 2" xfId="2202" xr:uid="{B78833E8-EEC4-4B56-9578-99C758D718C2}"/>
    <cellStyle name="Percent 28" xfId="2203" xr:uid="{DB6D31A9-D2F3-4E22-B02D-7B996C3FBE16}"/>
    <cellStyle name="Percent 28 2" xfId="2204" xr:uid="{F7C545DB-8BE8-44ED-89B8-F809BAABF3A0}"/>
    <cellStyle name="Percent 28 2 2" xfId="2205" xr:uid="{A5A44077-1C53-4B18-B67A-1F2AC60F1AD1}"/>
    <cellStyle name="Percent 28 2 2 2" xfId="2206" xr:uid="{3D5F1BBC-47A0-4671-B377-7231395A5F86}"/>
    <cellStyle name="Percent 28 2 2 3" xfId="2207" xr:uid="{CDAC4DCD-BEC5-4EA4-823E-0FDF7A69B513}"/>
    <cellStyle name="Percent 28 2 3" xfId="2208" xr:uid="{205B0ABE-7FE9-40A5-966D-D505944F12C7}"/>
    <cellStyle name="Percent 28 2 4" xfId="2209" xr:uid="{FDC5C05C-BA08-46BF-93AD-817525B28A1F}"/>
    <cellStyle name="Percent 28 3" xfId="2210" xr:uid="{9C566753-F908-404D-AA7F-8294209C6541}"/>
    <cellStyle name="Percent 28 3 2" xfId="2211" xr:uid="{232690D6-B3B9-4F0C-AD76-B2AAAB5850C2}"/>
    <cellStyle name="Percent 28 3 3" xfId="2212" xr:uid="{61183FF5-20D8-4CC8-94DC-F71BC75AB6D4}"/>
    <cellStyle name="Percent 28 4" xfId="2213" xr:uid="{AA8F7C59-DAB3-4F6B-896E-BD8CD653988D}"/>
    <cellStyle name="Percent 28 5" xfId="2214" xr:uid="{3DEEEEDE-3D08-4C77-9422-A4DBC72C383C}"/>
    <cellStyle name="Percent 29" xfId="2215" xr:uid="{7C479761-E5FB-4CDF-AB59-E65DFBDF5060}"/>
    <cellStyle name="Percent 3" xfId="2216" xr:uid="{DBD42A86-B473-4B6E-B411-67435C27A924}"/>
    <cellStyle name="Percent 3 2" xfId="2217" xr:uid="{CADF5DD3-2858-4656-A769-5A2E06567B22}"/>
    <cellStyle name="Percent 3 2 2" xfId="2218" xr:uid="{1190960C-2F57-4B10-8D70-9830C58DE2EF}"/>
    <cellStyle name="Percent 3 2 2 2" xfId="2219" xr:uid="{57388C24-3C1F-4807-A1CF-A62705BF1566}"/>
    <cellStyle name="Percent 3 2 2 2 2" xfId="2220" xr:uid="{2DF3D2DC-6D7A-42E5-8BB9-148867CC2B04}"/>
    <cellStyle name="Percent 3 2 2 2 2 2" xfId="2221" xr:uid="{BD0F8A35-A6D7-44EF-BAAC-0AD6C16FFCD1}"/>
    <cellStyle name="Percent 3 2 2 2 2 2 2" xfId="2222" xr:uid="{29E81C02-BD67-435F-A56E-FD081A28105A}"/>
    <cellStyle name="Percent 3 2 2 2 2 2 3" xfId="2223" xr:uid="{F5DA3A49-8144-425E-9C28-1395E1758465}"/>
    <cellStyle name="Percent 3 2 2 2 2 2 3 2" xfId="2224" xr:uid="{6D29604E-4624-42AC-A5BC-EDFB4BF0EDFA}"/>
    <cellStyle name="Percent 3 2 2 2 2 3" xfId="2225" xr:uid="{C73D1116-8FC2-4F47-B020-E90880E8C78D}"/>
    <cellStyle name="Percent 3 2 2 2 2 4" xfId="2226" xr:uid="{6BECC450-0CBB-456E-A7DF-893226135A9E}"/>
    <cellStyle name="Percent 3 2 2 2 2 4 2" xfId="2227" xr:uid="{0D5E1267-C47B-46A2-AEFA-63E7C0268EF1}"/>
    <cellStyle name="Percent 3 2 2 2 3" xfId="2228" xr:uid="{188840CC-2B34-4F2C-BF03-47AE1D32D010}"/>
    <cellStyle name="Percent 3 2 2 2 3 2" xfId="2229" xr:uid="{815E1599-BB0E-435C-89AD-7F6112A8FA27}"/>
    <cellStyle name="Percent 3 2 2 2 3 2 2" xfId="2230" xr:uid="{026CEEED-4F68-4596-9DAD-A311D8BE2B73}"/>
    <cellStyle name="Percent 3 2 2 2 3 2 3" xfId="2231" xr:uid="{67522ADF-69A8-4702-801B-7BAFA37AB4C2}"/>
    <cellStyle name="Percent 3 2 2 2 3 2 3 2" xfId="2232" xr:uid="{9A04AC90-E6CD-4AAD-B36E-A614318ADFB3}"/>
    <cellStyle name="Percent 3 2 2 2 3 3" xfId="2233" xr:uid="{3270D03C-91AD-45DD-83F7-2C09E3595935}"/>
    <cellStyle name="Percent 3 2 2 2 3 4" xfId="2234" xr:uid="{07BB7FDB-D166-403B-A0D5-6096E79AB54E}"/>
    <cellStyle name="Percent 3 2 2 2 3 4 2" xfId="2235" xr:uid="{14E4D9DF-FFF2-45B3-B9C2-A8F91B07FCBA}"/>
    <cellStyle name="Percent 3 2 2 2 4" xfId="2236" xr:uid="{CA97E855-A291-42A9-849C-35321F9871B6}"/>
    <cellStyle name="Percent 3 2 2 2 4 2" xfId="2237" xr:uid="{011E16DB-EAFA-478F-B80F-04308045EEE0}"/>
    <cellStyle name="Percent 3 2 2 2 4 3" xfId="2238" xr:uid="{7E9DEE26-46B4-4780-9479-08D142688962}"/>
    <cellStyle name="Percent 3 2 2 2 4 3 2" xfId="2239" xr:uid="{CD49098D-35BD-4D9B-AE91-261F988C2F90}"/>
    <cellStyle name="Percent 3 2 2 2 5" xfId="2240" xr:uid="{9CD4290A-7C61-49AC-8D83-3336B2CFC53B}"/>
    <cellStyle name="Percent 3 2 2 2 6" xfId="2241" xr:uid="{BA28FC74-F24F-452E-A5A7-0D52CFE540BB}"/>
    <cellStyle name="Percent 3 2 2 2 6 2" xfId="2242" xr:uid="{F8E85CCA-8B42-4272-8C8C-49A2F34085C7}"/>
    <cellStyle name="Percent 3 2 2 3" xfId="2243" xr:uid="{C3DA8C77-11AD-4F94-877C-9B1A1BE4AC89}"/>
    <cellStyle name="Percent 3 2 2 3 2" xfId="2244" xr:uid="{A5C7FA24-F8A0-433E-A75F-8AB5786FEDDC}"/>
    <cellStyle name="Percent 3 2 2 3 2 2" xfId="2245" xr:uid="{A7B69AF2-5F95-4C0B-A4EB-4F95713F8EB3}"/>
    <cellStyle name="Percent 3 2 2 3 2 2 2" xfId="2246" xr:uid="{754680C8-AE30-4527-BB76-83AD129FE418}"/>
    <cellStyle name="Percent 3 2 2 3 2 2 3" xfId="2247" xr:uid="{B9D032D6-953D-4C2C-B327-EE36821A8B00}"/>
    <cellStyle name="Percent 3 2 2 3 2 2 3 2" xfId="2248" xr:uid="{5654A6DF-BE2C-4178-AC84-5C3D867F45AF}"/>
    <cellStyle name="Percent 3 2 2 3 2 3" xfId="2249" xr:uid="{6AC42534-AA84-4584-B7CF-8C4104D5ED3A}"/>
    <cellStyle name="Percent 3 2 2 3 2 4" xfId="2250" xr:uid="{123F272B-8614-4043-950D-33D5811C02F1}"/>
    <cellStyle name="Percent 3 2 2 3 2 4 2" xfId="2251" xr:uid="{8AB91B32-2306-474B-93E4-1A11CBCF0F6E}"/>
    <cellStyle name="Percent 3 2 2 3 3" xfId="2252" xr:uid="{8E174E2C-3D17-4547-9855-08720A1A8718}"/>
    <cellStyle name="Percent 3 2 2 3 3 2" xfId="2253" xr:uid="{F051D702-3C47-4412-9F22-8061EABC29AF}"/>
    <cellStyle name="Percent 3 2 2 3 3 2 2" xfId="2254" xr:uid="{1191A049-BB4B-4213-85D4-66012E057676}"/>
    <cellStyle name="Percent 3 2 2 3 3 2 3" xfId="2255" xr:uid="{2F12FDD3-B2B5-4173-A838-7B06299AA0C6}"/>
    <cellStyle name="Percent 3 2 2 3 3 3" xfId="2256" xr:uid="{AC3C62F0-A478-47A2-BEC7-61E413B8B925}"/>
    <cellStyle name="Percent 3 2 2 3 3 4" xfId="2257" xr:uid="{501E67FA-A759-4AB6-8F4D-34A84064490E}"/>
    <cellStyle name="Percent 3 2 2 3 4" xfId="2258" xr:uid="{63AE5007-B102-4F47-8F55-A025C344C9D6}"/>
    <cellStyle name="Percent 3 2 2 3 4 2" xfId="2259" xr:uid="{F6669325-57EB-4B67-8B89-B0B22F4E2E93}"/>
    <cellStyle name="Percent 3 2 2 3 4 3" xfId="2260" xr:uid="{C7B3C167-1B12-447C-9F69-D383702E266D}"/>
    <cellStyle name="Percent 3 2 2 3 5" xfId="2261" xr:uid="{B873B9BF-9D3F-4B7E-8D51-0B74145D8ECA}"/>
    <cellStyle name="Percent 3 2 2 3 6" xfId="2262" xr:uid="{40D122F5-ABDE-47EE-9E52-2ADC3CE612EB}"/>
    <cellStyle name="Percent 3 2 2 4" xfId="2263" xr:uid="{D3BDAB58-87CD-4628-9AB3-385FDA5A51A2}"/>
    <cellStyle name="Percent 3 2 2 4 2" xfId="2264" xr:uid="{E385337C-6636-4DD8-98F4-A14A507543B3}"/>
    <cellStyle name="Percent 3 2 2 4 2 2" xfId="2265" xr:uid="{F823C7EE-872B-4315-9E1B-58D8CC7F01A7}"/>
    <cellStyle name="Percent 3 2 2 4 2 3" xfId="2266" xr:uid="{4F856D12-2C3D-475E-A7CF-5D620913D252}"/>
    <cellStyle name="Percent 3 2 2 4 2 3 2" xfId="2267" xr:uid="{08D6AFC8-087A-4FDA-9BB3-9C33E5C35F17}"/>
    <cellStyle name="Percent 3 2 2 4 3" xfId="2268" xr:uid="{F91AAAF8-BAE4-4BCC-861A-C63CFF7DB0EB}"/>
    <cellStyle name="Percent 3 2 2 4 4" xfId="2269" xr:uid="{28B9ED1C-1718-4985-BCA4-D6D41F5F1F85}"/>
    <cellStyle name="Percent 3 2 2 4 4 2" xfId="2270" xr:uid="{0FA91588-73D0-49D6-BB90-C2FC4B85EA86}"/>
    <cellStyle name="Percent 3 2 2 5" xfId="2271" xr:uid="{7BED86A9-8479-42FF-B701-84E8051F4A18}"/>
    <cellStyle name="Percent 3 2 2 5 2" xfId="2272" xr:uid="{C280F06D-E296-40BB-AF7A-8F4B1A1820DB}"/>
    <cellStyle name="Percent 3 2 2 5 2 2" xfId="2273" xr:uid="{DBF05FC2-3464-4AC1-B418-AE2D792FD766}"/>
    <cellStyle name="Percent 3 2 2 5 2 3" xfId="2274" xr:uid="{138E451A-5AD7-42C9-9C48-5C096E5FA5E9}"/>
    <cellStyle name="Percent 3 2 2 5 2 3 2" xfId="2275" xr:uid="{37AABEC7-1DD6-4E7F-BE57-5C429FDCC9BC}"/>
    <cellStyle name="Percent 3 2 2 5 3" xfId="2276" xr:uid="{DA7F36E3-0CCC-4376-B911-F0F125D5C4C0}"/>
    <cellStyle name="Percent 3 2 2 5 4" xfId="2277" xr:uid="{3A052001-BDAD-4835-AD9A-9A1FB79C936E}"/>
    <cellStyle name="Percent 3 2 2 5 4 2" xfId="2278" xr:uid="{99CB38DA-5563-4C5E-84AE-E8C294EE84EF}"/>
    <cellStyle name="Percent 3 2 2 6" xfId="2279" xr:uid="{04ED3400-4CB5-41D6-9DE6-42FA4937D413}"/>
    <cellStyle name="Percent 3 2 2 6 2" xfId="2280" xr:uid="{BC8638A2-3FCF-4BA6-9326-8BC82670A360}"/>
    <cellStyle name="Percent 3 2 2 6 3" xfId="2281" xr:uid="{7E79F788-DC10-4CCD-A96F-4ED360A41B8C}"/>
    <cellStyle name="Percent 3 2 2 6 3 2" xfId="2282" xr:uid="{7916CF22-EE75-4E5A-B6A5-D53909663125}"/>
    <cellStyle name="Percent 3 2 2 7" xfId="2283" xr:uid="{9F4A74D8-0884-4BA8-A6A9-7B03701FF1E3}"/>
    <cellStyle name="Percent 3 2 2 8" xfId="2284" xr:uid="{00EB7A54-AEC0-4B81-983A-962DB9E3365E}"/>
    <cellStyle name="Percent 3 2 2 8 2" xfId="2285" xr:uid="{0C5D1579-9C14-4936-AE8D-C05AD481930C}"/>
    <cellStyle name="Percent 3 2 3" xfId="2286" xr:uid="{D43B6E86-A030-417D-9199-5ED395FAC7FC}"/>
    <cellStyle name="Percent 3 2 3 2" xfId="2287" xr:uid="{EEACCFDD-4FA9-42D9-A6FC-FDB863E0732D}"/>
    <cellStyle name="Percent 3 2 3 2 2" xfId="2288" xr:uid="{BE899503-BDFD-432B-A658-032A1E1B29C3}"/>
    <cellStyle name="Percent 3 2 3 2 2 2" xfId="2289" xr:uid="{4A8ECA0F-A402-4255-A727-8B230DAF638F}"/>
    <cellStyle name="Percent 3 2 3 2 2 3" xfId="2290" xr:uid="{83299241-7CC5-476F-B726-74FECD353629}"/>
    <cellStyle name="Percent 3 2 3 2 2 3 2" xfId="2291" xr:uid="{2E7A6CFD-B4D5-48FB-A2D5-404F23D8D5A9}"/>
    <cellStyle name="Percent 3 2 3 2 3" xfId="2292" xr:uid="{055914B5-9882-4A79-BD0C-AA75FCD0E188}"/>
    <cellStyle name="Percent 3 2 3 2 4" xfId="2293" xr:uid="{74086675-8073-4BBD-B57F-6C051CDBC05F}"/>
    <cellStyle name="Percent 3 2 3 2 4 2" xfId="2294" xr:uid="{B11EDBE3-D49F-4145-88B0-285897B6424E}"/>
    <cellStyle name="Percent 3 2 3 3" xfId="2295" xr:uid="{77B511E5-E8DC-4E15-B422-ABBD386676DD}"/>
    <cellStyle name="Percent 3 2 3 3 2" xfId="2296" xr:uid="{843ED26E-4F27-40DD-A3D9-60E88ABF320E}"/>
    <cellStyle name="Percent 3 2 3 3 2 2" xfId="2297" xr:uid="{D956EDFC-5647-40CF-B480-26D4C80B556C}"/>
    <cellStyle name="Percent 3 2 3 3 2 3" xfId="2298" xr:uid="{F481682A-101D-45B8-9829-5EA74BBDD35C}"/>
    <cellStyle name="Percent 3 2 3 3 3" xfId="2299" xr:uid="{3BADED28-235F-44BE-BCFB-CF20DCA46A10}"/>
    <cellStyle name="Percent 3 2 3 3 4" xfId="2300" xr:uid="{56B6C0CE-6EE7-45D5-A283-97222FEFF15B}"/>
    <cellStyle name="Percent 3 2 3 4" xfId="2301" xr:uid="{617B6D6B-6FE6-450C-99C9-3A47BDC40C7D}"/>
    <cellStyle name="Percent 3 2 3 4 2" xfId="2302" xr:uid="{F1E3F109-9636-484D-968F-8BA0487C0A76}"/>
    <cellStyle name="Percent 3 2 3 4 3" xfId="2303" xr:uid="{2E6C5C56-485F-4A25-9A64-BAA34E89FD06}"/>
    <cellStyle name="Percent 3 2 3 5" xfId="2304" xr:uid="{B88C7DEB-6A19-4958-B2F4-0B7A94F99B9F}"/>
    <cellStyle name="Percent 3 2 3 6" xfId="2305" xr:uid="{B806668B-FAA5-4DCC-B6EB-C9BDF7E1E873}"/>
    <cellStyle name="Percent 3 2 4" xfId="2306" xr:uid="{C27AA64A-62D3-49D8-9013-A0741B80A354}"/>
    <cellStyle name="Percent 3 2 4 2" xfId="2307" xr:uid="{5B7A1FF4-C687-4AA4-BDAB-4EAD5F3D6A67}"/>
    <cellStyle name="Percent 3 2 4 2 2" xfId="2308" xr:uid="{425417F4-A049-4FE8-972A-6FBD0D4FFE26}"/>
    <cellStyle name="Percent 3 2 4 2 3" xfId="2309" xr:uid="{FCE804FC-36D0-498C-AF2B-1B1E8A935D4D}"/>
    <cellStyle name="Percent 3 2 4 3" xfId="2310" xr:uid="{E3DFEE73-21E3-4585-AB51-DA8B96CA320D}"/>
    <cellStyle name="Percent 3 2 4 4" xfId="2311" xr:uid="{CB836F10-5756-4A8A-A8C1-54E050B7FBA2}"/>
    <cellStyle name="Percent 3 2 5" xfId="2312" xr:uid="{0DC274BA-4B93-4235-B5DC-629F35291887}"/>
    <cellStyle name="Percent 3 2 5 2" xfId="2313" xr:uid="{1F44A16C-C48C-4F9D-AFC3-F46351CBE094}"/>
    <cellStyle name="Percent 3 2 5 3" xfId="2314" xr:uid="{C94033BA-4D7E-4B10-95FA-4D9FBDA5F24F}"/>
    <cellStyle name="Percent 3 2 6" xfId="2315" xr:uid="{5F4F3717-D418-4B29-AAD2-676786EEAB37}"/>
    <cellStyle name="Percent 3 2 7" xfId="2316" xr:uid="{B07B36F6-BC29-4565-9EBC-3C70D657A2E3}"/>
    <cellStyle name="Percent 3 3" xfId="2317" xr:uid="{22C1E2E7-7F7F-443D-8BF3-955D85169317}"/>
    <cellStyle name="Percent 3 3 2" xfId="2318" xr:uid="{D6BF2934-99F0-4C11-9BBB-DF1874142A10}"/>
    <cellStyle name="Percent 3 4" xfId="2319" xr:uid="{F66AD6AD-285E-47DB-9B06-ED5DA9BCE3A2}"/>
    <cellStyle name="Percent 3 4 2" xfId="2320" xr:uid="{99035560-6548-47FE-B0E3-CFE91ED78D4D}"/>
    <cellStyle name="Percent 3 5" xfId="2321" xr:uid="{12094C0C-C9B3-4B38-AC09-265C37D9CEB4}"/>
    <cellStyle name="Percent 30" xfId="2322" xr:uid="{6E0AF162-F198-4326-B806-9730FBE979EF}"/>
    <cellStyle name="Percent 31" xfId="2323" xr:uid="{D930D86C-FB0B-4509-A2EE-7E7E20811F68}"/>
    <cellStyle name="Percent 32" xfId="2324" xr:uid="{36790907-85F9-4451-9283-511E8B548F56}"/>
    <cellStyle name="Percent 33" xfId="2325" xr:uid="{64FACC02-E42B-4252-ACAD-389549FF52A7}"/>
    <cellStyle name="Percent 34" xfId="2326" xr:uid="{66D48628-ADCE-4547-9F09-638D0951A533}"/>
    <cellStyle name="Percent 35" xfId="2327" xr:uid="{4711E115-6C12-4C94-AD7A-B7C81E81558C}"/>
    <cellStyle name="Percent 36" xfId="2328" xr:uid="{3C6B8D4C-727B-455A-9C70-0924008E41F9}"/>
    <cellStyle name="Percent 4" xfId="2329" xr:uid="{0C2A100D-E959-42BB-AA78-B66BBCEC8620}"/>
    <cellStyle name="Percent 4 2" xfId="2330" xr:uid="{CC1650BA-5ED0-4407-8BCD-78FD0A20E1E7}"/>
    <cellStyle name="Percent 4 2 2" xfId="2331" xr:uid="{18FAE706-198A-48A7-959B-03291024A1CB}"/>
    <cellStyle name="Percent 4 2 2 2" xfId="2332" xr:uid="{D858D505-AF37-4F50-98C4-3DE30C69214B}"/>
    <cellStyle name="Percent 4 2 2 2 2" xfId="2333" xr:uid="{C6A42DAF-FCBA-45A0-9F2D-7265D23EB9F2}"/>
    <cellStyle name="Percent 4 2 2 2 2 2" xfId="2334" xr:uid="{390DEE74-ABD4-4824-BBFC-C42C73A6CC32}"/>
    <cellStyle name="Percent 4 2 2 2 2 3" xfId="2335" xr:uid="{CFE21814-9B18-4712-99F7-A27B75869763}"/>
    <cellStyle name="Percent 4 2 2 2 3" xfId="2336" xr:uid="{C8B115BB-17B8-418F-BC98-CD5EBE581856}"/>
    <cellStyle name="Percent 4 2 2 2 4" xfId="2337" xr:uid="{69639FE2-699D-49B4-915F-F23BE108DDC0}"/>
    <cellStyle name="Percent 4 2 2 3" xfId="2338" xr:uid="{69D2E412-4D49-482D-8966-39A89FD63F05}"/>
    <cellStyle name="Percent 4 2 2 3 2" xfId="2339" xr:uid="{644842E8-1470-4E2C-BCF0-37C8EFED1AB1}"/>
    <cellStyle name="Percent 4 2 2 3 3" xfId="2340" xr:uid="{C8C3155A-5B09-4B77-AAF1-68914C97E2C2}"/>
    <cellStyle name="Percent 4 2 2 4" xfId="2341" xr:uid="{A789E512-BA43-4F15-BD4D-6B12AFC3A059}"/>
    <cellStyle name="Percent 4 2 2 5" xfId="2342" xr:uid="{AB4A76F2-C247-4287-82AE-93D0E0C39F85}"/>
    <cellStyle name="Percent 4 2 3" xfId="2343" xr:uid="{51E80E2E-95C2-4A9D-868E-2A53E369A202}"/>
    <cellStyle name="Percent 4 2 3 2" xfId="2344" xr:uid="{805C97FD-A268-4A09-A9A9-8A7AB978A9AF}"/>
    <cellStyle name="Percent 4 2 3 2 2" xfId="2345" xr:uid="{4DB61ECA-8F56-4A8A-A327-4E97F4E6CA0A}"/>
    <cellStyle name="Percent 4 2 3 2 3" xfId="2346" xr:uid="{D53EA5BC-58F4-46F6-8091-539558391922}"/>
    <cellStyle name="Percent 4 2 3 2 3 2" xfId="2347" xr:uid="{AAAF8507-7AE5-44EF-B28B-14C604B24848}"/>
    <cellStyle name="Percent 4 2 3 3" xfId="2348" xr:uid="{2B0B3432-7406-43E8-9813-399CFF42B94D}"/>
    <cellStyle name="Percent 4 2 3 4" xfId="2349" xr:uid="{63D589F7-AFFF-4310-82F9-8B2830A1E7DC}"/>
    <cellStyle name="Percent 4 2 3 4 2" xfId="2350" xr:uid="{E2586515-3C16-4D2B-8533-1C7B160EE7F9}"/>
    <cellStyle name="Percent 4 2 4" xfId="2351" xr:uid="{CFD4915F-B070-445B-B932-04C1E5C25899}"/>
    <cellStyle name="Percent 4 2 4 2" xfId="2352" xr:uid="{0779FA95-F55E-4306-ADA5-44AABD575F28}"/>
    <cellStyle name="Percent 4 2 4 3" xfId="2353" xr:uid="{729852B5-A07D-4922-9192-0C3FBB941178}"/>
    <cellStyle name="Percent 4 2 4 3 2" xfId="2354" xr:uid="{B8C7D2B2-1EDB-48DB-A464-78274521789D}"/>
    <cellStyle name="Percent 4 2 5" xfId="2355" xr:uid="{6F454A05-C60A-470A-84AD-F8E6D5101ACA}"/>
    <cellStyle name="Percent 4 2 6" xfId="2356" xr:uid="{B5587C87-118C-4DD6-8760-32349BB07C4C}"/>
    <cellStyle name="Percent 4 2 6 2" xfId="2357" xr:uid="{41DF049B-026E-49BC-BE2F-028F66E5ADDE}"/>
    <cellStyle name="Percent 4 3" xfId="2358" xr:uid="{94764D6E-A1AA-4DB9-920E-761F0E786C1C}"/>
    <cellStyle name="Percent 4 3 2" xfId="2359" xr:uid="{18BE3EDA-35A0-481E-B6FB-F0EE5EF275C2}"/>
    <cellStyle name="Percent 4 3 2 2" xfId="2360" xr:uid="{2DC45A6B-A94F-4C18-A8D4-1B75C3935DDA}"/>
    <cellStyle name="Percent 4 3 2 2 2" xfId="2361" xr:uid="{26CC791F-2175-4E42-BCE4-0D4DE811232A}"/>
    <cellStyle name="Percent 4 3 2 2 3" xfId="2362" xr:uid="{F2043FC3-A2B1-4723-B5B3-7AD991594427}"/>
    <cellStyle name="Percent 4 3 2 3" xfId="2363" xr:uid="{3B5BD260-45A6-498C-9ABB-98EF0C5C39F6}"/>
    <cellStyle name="Percent 4 3 2 4" xfId="2364" xr:uid="{350520CD-B09D-4C7D-B26F-4763A5E844DC}"/>
    <cellStyle name="Percent 4 3 3" xfId="2365" xr:uid="{A064D8E5-D8E8-4728-83AC-44FCC49D3771}"/>
    <cellStyle name="Percent 4 3 3 2" xfId="2366" xr:uid="{6B4DCED1-56E5-4281-A398-04C39C825C36}"/>
    <cellStyle name="Percent 4 3 3 3" xfId="2367" xr:uid="{202922D8-93E9-4375-B889-B40A308EF017}"/>
    <cellStyle name="Percent 4 3 4" xfId="2368" xr:uid="{0E849BAC-E676-4C04-A122-7B7BC786E9E7}"/>
    <cellStyle name="Percent 4 3 5" xfId="2369" xr:uid="{0409370F-2BAD-4335-A3F6-BD8497AC1210}"/>
    <cellStyle name="Percent 4 4" xfId="2370" xr:uid="{48E44B06-625D-4477-8C15-43E8792A0420}"/>
    <cellStyle name="Percent 4 4 2" xfId="2371" xr:uid="{36D3A21B-8DA6-4686-8EEE-C19B83DBAF44}"/>
    <cellStyle name="Percent 4 4 2 2" xfId="2372" xr:uid="{A3A84135-2883-439F-8925-08F080FAC4B0}"/>
    <cellStyle name="Percent 4 4 2 3" xfId="2373" xr:uid="{82A5AECF-2BDC-41FE-AB00-726B2C54A49A}"/>
    <cellStyle name="Percent 4 4 3" xfId="2374" xr:uid="{3DFF0C22-D086-4F5E-A614-8AA237F40A91}"/>
    <cellStyle name="Percent 4 4 4" xfId="2375" xr:uid="{19E8D468-D4AF-4CDA-8226-1535051DAF53}"/>
    <cellStyle name="Percent 4 5" xfId="2376" xr:uid="{A3BB2E92-6E52-4B1F-89BC-A26CC4395E09}"/>
    <cellStyle name="Percent 4 5 2" xfId="2377" xr:uid="{43A42BFE-FAAC-4B35-A0BD-6D435BE034B9}"/>
    <cellStyle name="Percent 4 5 3" xfId="2378" xr:uid="{38E7A1A7-8FCC-4F62-92A1-DA08BB91085C}"/>
    <cellStyle name="Percent 4 6" xfId="2379" xr:uid="{D6A4E663-BF8A-4142-80E6-54B1A45ED438}"/>
    <cellStyle name="Percent 4 7" xfId="2380" xr:uid="{15773AA5-FE18-42E4-9087-671C239B87AF}"/>
    <cellStyle name="Percent 5" xfId="2381" xr:uid="{6CC39B53-C1D6-47A4-AD71-3E35FD8FF936}"/>
    <cellStyle name="Percent 5 2" xfId="2382" xr:uid="{58814A02-A845-45CA-8449-98769A522B5C}"/>
    <cellStyle name="Percent 5 2 2" xfId="2383" xr:uid="{286EF02F-6637-4081-9BA1-D602861BFD35}"/>
    <cellStyle name="Percent 5 2 2 2" xfId="2384" xr:uid="{8B506307-6072-4BD2-97F3-01E7BE64226A}"/>
    <cellStyle name="Percent 5 2 2 2 2" xfId="2385" xr:uid="{834D427E-C92F-4E13-9DC3-9F8CD69E4505}"/>
    <cellStyle name="Percent 5 2 2 2 2 2" xfId="2386" xr:uid="{90522F71-0C37-44F5-A9B8-88EF5972183C}"/>
    <cellStyle name="Percent 5 2 2 2 2 3" xfId="2387" xr:uid="{D8EE210C-46D3-4FF1-AA04-624708C58755}"/>
    <cellStyle name="Percent 5 2 2 2 3" xfId="2388" xr:uid="{04A73C75-1559-4657-80AC-20F275322BED}"/>
    <cellStyle name="Percent 5 2 2 2 4" xfId="2389" xr:uid="{89415EC2-06E1-4102-ABE2-22DD5995E595}"/>
    <cellStyle name="Percent 5 2 2 3" xfId="2390" xr:uid="{A1E03A75-296B-4145-8DD4-9556C0919B02}"/>
    <cellStyle name="Percent 5 2 2 3 2" xfId="2391" xr:uid="{B4B02A67-DB7E-4452-8702-78621CF56125}"/>
    <cellStyle name="Percent 5 2 2 3 3" xfId="2392" xr:uid="{F63E341E-0C5A-4638-A467-9C572AF48E9B}"/>
    <cellStyle name="Percent 5 2 2 4" xfId="2393" xr:uid="{3B8F4AED-A23D-4595-AE51-16669FC4A3B5}"/>
    <cellStyle name="Percent 5 2 2 5" xfId="2394" xr:uid="{78EBE7D8-3408-40B1-8B3A-50FB3D06F3E2}"/>
    <cellStyle name="Percent 5 2 3" xfId="2395" xr:uid="{96B91377-6B17-4ED7-AA58-6453734F7B61}"/>
    <cellStyle name="Percent 5 2 3 2" xfId="2396" xr:uid="{6C5B03FE-4C29-454F-B9E4-C03EC352376F}"/>
    <cellStyle name="Percent 5 2 3 2 2" xfId="2397" xr:uid="{5C9F4D09-79BA-4D71-B163-0D3CC12EE2E3}"/>
    <cellStyle name="Percent 5 2 3 2 3" xfId="2398" xr:uid="{EBCDEDE7-6740-4009-9F60-666DE3E25106}"/>
    <cellStyle name="Percent 5 2 3 2 3 2" xfId="2399" xr:uid="{C707CCC3-596B-4D03-84E7-4816857AF39B}"/>
    <cellStyle name="Percent 5 2 3 3" xfId="2400" xr:uid="{A9045D1D-BC1E-4A6A-B3C7-50BDDA1B8374}"/>
    <cellStyle name="Percent 5 2 3 4" xfId="2401" xr:uid="{905667BC-EF6F-4D66-AEE1-C7723FBAC4CF}"/>
    <cellStyle name="Percent 5 2 3 4 2" xfId="2402" xr:uid="{FEA1AC6B-A77F-461D-8754-859F002095AF}"/>
    <cellStyle name="Percent 5 2 4" xfId="2403" xr:uid="{78034C08-2E92-459A-9F6C-CAFEEC7E5F16}"/>
    <cellStyle name="Percent 5 2 4 2" xfId="2404" xr:uid="{5EBECD7E-BF92-4F25-BFCB-227AB77988C0}"/>
    <cellStyle name="Percent 5 2 4 3" xfId="2405" xr:uid="{39A2B218-61E0-409B-9DC6-F3202E0A97CA}"/>
    <cellStyle name="Percent 5 2 4 3 2" xfId="2406" xr:uid="{A11A6F7C-76E1-4B16-9E82-84ECBB383A0E}"/>
    <cellStyle name="Percent 5 2 5" xfId="2407" xr:uid="{17269F2F-2E5E-44BB-8AB1-DEE4F48DBD5F}"/>
    <cellStyle name="Percent 5 2 6" xfId="2408" xr:uid="{324AEC0B-12D0-4AC5-AE25-587B9B574290}"/>
    <cellStyle name="Percent 5 2 6 2" xfId="2409" xr:uid="{C930B345-BDEB-48CA-8CDB-C3648DDEBA65}"/>
    <cellStyle name="Percent 5 3" xfId="2410" xr:uid="{57CC425F-7629-47EE-9E53-1811AF300995}"/>
    <cellStyle name="Percent 5 3 2" xfId="2411" xr:uid="{000BC069-1B31-48C5-8D2C-591D6EC6F36E}"/>
    <cellStyle name="Percent 5 3 2 2" xfId="2412" xr:uid="{F0BBD44D-D304-47B1-B95E-57830DB9DF70}"/>
    <cellStyle name="Percent 5 3 2 2 2" xfId="2413" xr:uid="{A0E24537-04AA-419E-93B1-614805095779}"/>
    <cellStyle name="Percent 5 3 2 2 3" xfId="2414" xr:uid="{24B1DDE8-2A1F-408E-B2CF-A611DA14C945}"/>
    <cellStyle name="Percent 5 3 2 3" xfId="2415" xr:uid="{92D82EE3-E5F5-480D-AEB3-FA90B5ED0FCE}"/>
    <cellStyle name="Percent 5 3 2 4" xfId="2416" xr:uid="{DB59CC06-CB7A-4DC4-BD87-B8FED7178676}"/>
    <cellStyle name="Percent 5 3 3" xfId="2417" xr:uid="{A5C93211-17E0-4369-A1EC-507F4FEB6851}"/>
    <cellStyle name="Percent 5 3 3 2" xfId="2418" xr:uid="{B6D3E5B6-2664-41D6-9A07-3530AFE394E2}"/>
    <cellStyle name="Percent 5 3 3 3" xfId="2419" xr:uid="{6778CC74-DC6D-452A-A8C0-E0902B2E1BD1}"/>
    <cellStyle name="Percent 5 3 4" xfId="2420" xr:uid="{0EC983A8-8932-4AF1-A196-D80F0D686637}"/>
    <cellStyle name="Percent 5 3 5" xfId="2421" xr:uid="{25E4872B-A3DD-4BD8-B319-526C5DB51AFF}"/>
    <cellStyle name="Percent 5 4" xfId="2422" xr:uid="{9BFDDF16-C046-40CF-AA54-661D44DB9240}"/>
    <cellStyle name="Percent 5 4 2" xfId="2423" xr:uid="{39B2FB7F-210D-4410-B349-CF34251B5D5E}"/>
    <cellStyle name="Percent 5 4 2 2" xfId="2424" xr:uid="{7D9199DC-4D8A-4AD1-A206-88748A84ED96}"/>
    <cellStyle name="Percent 5 4 2 3" xfId="2425" xr:uid="{7D308176-5B0E-4E3B-89D1-EB2564730C52}"/>
    <cellStyle name="Percent 5 4 3" xfId="2426" xr:uid="{79E4A212-A12D-4E77-87AF-ABAA62F519D6}"/>
    <cellStyle name="Percent 5 4 4" xfId="2427" xr:uid="{8F38C88C-8179-4078-82A3-750FFE3BD3D9}"/>
    <cellStyle name="Percent 5 5" xfId="2428" xr:uid="{10B930BC-489F-48C5-8D0C-12DA68058479}"/>
    <cellStyle name="Percent 5 5 2" xfId="2429" xr:uid="{46EA9E91-7180-4EFC-9C30-B0552D4EE323}"/>
    <cellStyle name="Percent 5 5 3" xfId="2430" xr:uid="{B665AE28-AF2E-403C-B4D5-9D0014915CA3}"/>
    <cellStyle name="Percent 5 6" xfId="2431" xr:uid="{95488980-9766-41A8-959C-80FBDC603CBF}"/>
    <cellStyle name="Percent 5 7" xfId="2432" xr:uid="{69867A2F-B79E-49B0-BCC1-A99CD2682DD6}"/>
    <cellStyle name="Percent 6" xfId="2433" xr:uid="{0768B8C5-0B3F-4858-8386-CE9E626090A3}"/>
    <cellStyle name="Percent 6 2" xfId="2434" xr:uid="{D5A7C1B2-D5A3-4D51-8491-1018903EC33E}"/>
    <cellStyle name="Percent 6 2 2" xfId="2435" xr:uid="{3F548F6B-3DAC-41F2-86EF-AC370B58158D}"/>
    <cellStyle name="Percent 6 2 2 2" xfId="2436" xr:uid="{41ED0831-B672-4058-AADE-0DC61F70707A}"/>
    <cellStyle name="Percent 6 2 2 2 2" xfId="2437" xr:uid="{05376F8F-A619-432C-9193-D4C6A5C3B3C1}"/>
    <cellStyle name="Percent 6 2 2 2 2 2" xfId="2438" xr:uid="{61090CA6-1327-4D8D-B5E3-DFDBA7F7DC07}"/>
    <cellStyle name="Percent 6 2 2 2 2 3" xfId="2439" xr:uid="{7853EB46-8ACC-45B9-AFAC-E2C4B74C3BF8}"/>
    <cellStyle name="Percent 6 2 2 2 3" xfId="2440" xr:uid="{2E6BE2F5-7707-4484-8099-08000D0254B9}"/>
    <cellStyle name="Percent 6 2 2 2 4" xfId="2441" xr:uid="{0DF7DCAB-6C6F-4028-985E-26C38984A1A3}"/>
    <cellStyle name="Percent 6 2 2 3" xfId="2442" xr:uid="{33B70EDA-0BED-46C6-8F7D-20B75F756C8A}"/>
    <cellStyle name="Percent 6 2 2 3 2" xfId="2443" xr:uid="{E2F156EF-25CD-4E2D-BD12-4ED795DDBCF9}"/>
    <cellStyle name="Percent 6 2 2 3 3" xfId="2444" xr:uid="{48CD8A8D-CE28-49C7-ACEE-805F8EA3E5D9}"/>
    <cellStyle name="Percent 6 2 2 4" xfId="2445" xr:uid="{02CB0BBB-C2BB-4E82-88C0-4899B2A2B2C0}"/>
    <cellStyle name="Percent 6 2 2 5" xfId="2446" xr:uid="{34CDDE6D-4A43-40C8-B075-F6E928DFD981}"/>
    <cellStyle name="Percent 6 2 3" xfId="2447" xr:uid="{CD7F0C1F-EB2D-405A-ADD3-E0FB26F359C3}"/>
    <cellStyle name="Percent 6 2 3 2" xfId="2448" xr:uid="{DF18C7CA-FF21-4D24-B097-9DA1AF2D661F}"/>
    <cellStyle name="Percent 6 2 3 2 2" xfId="2449" xr:uid="{6749ED5D-A7D3-482B-9912-6803E46E3951}"/>
    <cellStyle name="Percent 6 2 3 2 3" xfId="2450" xr:uid="{F41916F2-97C2-49D8-8680-4706C2659101}"/>
    <cellStyle name="Percent 6 2 3 2 3 2" xfId="2451" xr:uid="{59CDA256-DCBD-40D3-A702-B10C55F5DFCF}"/>
    <cellStyle name="Percent 6 2 3 3" xfId="2452" xr:uid="{735821D0-1DA5-4FA3-90F2-33D6CA52E2E6}"/>
    <cellStyle name="Percent 6 2 3 4" xfId="2453" xr:uid="{274E2E8D-5C6F-44AB-9387-662694E71124}"/>
    <cellStyle name="Percent 6 2 3 4 2" xfId="2454" xr:uid="{16BB914D-7FFB-454E-9B4B-61B3016FCF68}"/>
    <cellStyle name="Percent 6 2 4" xfId="2455" xr:uid="{3BC2EB3D-F88D-46F7-B7E5-077AF12B49C4}"/>
    <cellStyle name="Percent 6 2 4 2" xfId="2456" xr:uid="{7C9EC30A-C356-43B6-BEBC-3A86124290A7}"/>
    <cellStyle name="Percent 6 2 4 3" xfId="2457" xr:uid="{81C63A2D-0135-4B11-BACF-26F0AB1C3208}"/>
    <cellStyle name="Percent 6 2 4 3 2" xfId="2458" xr:uid="{5E30E778-4C3A-48CD-8DE0-77C15BED669A}"/>
    <cellStyle name="Percent 6 2 5" xfId="2459" xr:uid="{10F3559D-F41E-428E-A766-EC13B377A543}"/>
    <cellStyle name="Percent 6 2 6" xfId="2460" xr:uid="{8231CF16-A198-4225-9C24-FC2E90E0EAAE}"/>
    <cellStyle name="Percent 6 2 6 2" xfId="2461" xr:uid="{FA010DCA-375D-4C5B-9131-72E1B2B101DF}"/>
    <cellStyle name="Percent 6 3" xfId="2462" xr:uid="{773136E7-E5EF-429A-90BC-0E98F1947593}"/>
    <cellStyle name="Percent 6 3 2" xfId="2463" xr:uid="{D6371829-D659-4B38-8654-7D7B79BDC49D}"/>
    <cellStyle name="Percent 6 3 2 2" xfId="2464" xr:uid="{B4E9C265-8701-430E-A11E-A94361A77B94}"/>
    <cellStyle name="Percent 6 3 2 2 2" xfId="2465" xr:uid="{AEB85083-6133-41CD-85A8-760FCF9C5F9A}"/>
    <cellStyle name="Percent 6 3 2 2 3" xfId="2466" xr:uid="{6F37FEEE-E5AC-447A-A59D-8005EEB68EDC}"/>
    <cellStyle name="Percent 6 3 2 3" xfId="2467" xr:uid="{D49885FD-41ED-4CA4-A02F-288EB4CC692F}"/>
    <cellStyle name="Percent 6 3 2 4" xfId="2468" xr:uid="{8E2158C8-16F6-4F43-8ABB-324532A0D624}"/>
    <cellStyle name="Percent 6 3 3" xfId="2469" xr:uid="{52F91F3F-2BA0-4605-ACA6-172C2441A1B2}"/>
    <cellStyle name="Percent 6 3 3 2" xfId="2470" xr:uid="{E72051BB-FDD8-4C31-AF63-953252EFA71D}"/>
    <cellStyle name="Percent 6 3 3 3" xfId="2471" xr:uid="{A531CBB5-2946-47BD-8817-8DE5C5200A65}"/>
    <cellStyle name="Percent 6 3 4" xfId="2472" xr:uid="{D8649CE9-B592-4F70-BFBB-C5ACEA16CDA2}"/>
    <cellStyle name="Percent 6 3 5" xfId="2473" xr:uid="{64634A6E-8722-4CBE-8260-F38C62481973}"/>
    <cellStyle name="Percent 6 4" xfId="2474" xr:uid="{522613D9-EAB2-48A7-9971-86BD43364793}"/>
    <cellStyle name="Percent 6 4 2" xfId="2475" xr:uid="{975440D3-9158-4853-9152-2CA4781E781B}"/>
    <cellStyle name="Percent 6 4 2 2" xfId="2476" xr:uid="{2FF97A7A-F48B-412C-8B0D-EF9891D35651}"/>
    <cellStyle name="Percent 6 4 2 3" xfId="2477" xr:uid="{366CF034-E949-43A8-BC21-329E2EF7B615}"/>
    <cellStyle name="Percent 6 4 3" xfId="2478" xr:uid="{1F8BD86C-66B3-45C6-90FF-E1A9AC40A4CD}"/>
    <cellStyle name="Percent 6 4 4" xfId="2479" xr:uid="{9E73A994-0722-4C01-A691-62D517437DC2}"/>
    <cellStyle name="Percent 6 5" xfId="2480" xr:uid="{71EEA37C-4F8F-48FC-85BC-E483EDA11AD7}"/>
    <cellStyle name="Percent 6 5 2" xfId="2481" xr:uid="{E6CEAF26-55A5-4D7B-A480-2C30820FD582}"/>
    <cellStyle name="Percent 6 5 3" xfId="2482" xr:uid="{9FA4E344-D3D7-4578-BD12-005119FA8F4E}"/>
    <cellStyle name="Percent 6 6" xfId="2483" xr:uid="{FC0CBA7C-6360-4837-B26E-2E2EEAF8A391}"/>
    <cellStyle name="Percent 6 7" xfId="2484" xr:uid="{C31AB325-3CDB-4355-9650-90140CAC62F9}"/>
    <cellStyle name="Percent 7" xfId="2485" xr:uid="{AFDA5C05-7F0A-49DB-A7E3-60408B55B1A4}"/>
    <cellStyle name="Percent 7 2" xfId="2486" xr:uid="{3658FC5E-7C49-4529-B281-4C0797AD2C6D}"/>
    <cellStyle name="Percent 7 2 2" xfId="2487" xr:uid="{682AE88B-8CB3-4547-95BF-A9ECADF40A85}"/>
    <cellStyle name="Percent 7 2 2 2" xfId="2488" xr:uid="{589C06D6-8AE2-4F71-B88A-6B69EC44907F}"/>
    <cellStyle name="Percent 7 2 2 2 2" xfId="2489" xr:uid="{7876FCFC-2153-463C-AE88-41AD88A0904B}"/>
    <cellStyle name="Percent 7 2 2 2 2 2" xfId="2490" xr:uid="{406F4F88-5C1A-42A5-BB7F-EEFA8010DF67}"/>
    <cellStyle name="Percent 7 2 2 2 2 3" xfId="2491" xr:uid="{97949EF7-361E-4065-A9EB-35A09B87B407}"/>
    <cellStyle name="Percent 7 2 2 2 3" xfId="2492" xr:uid="{A7A1A71E-FA2A-408F-966D-E15167F74876}"/>
    <cellStyle name="Percent 7 2 2 2 4" xfId="2493" xr:uid="{A914CD62-B58D-4A85-B263-8F6B286DBD98}"/>
    <cellStyle name="Percent 7 2 2 3" xfId="2494" xr:uid="{ADBEEA54-C8C8-49DF-8CB1-0E1133EFAB51}"/>
    <cellStyle name="Percent 7 2 2 3 2" xfId="2495" xr:uid="{9F08E230-245E-4D33-9817-AB2C5390FBE2}"/>
    <cellStyle name="Percent 7 2 2 3 3" xfId="2496" xr:uid="{600A1D6B-D927-406B-B04A-941E1E708E56}"/>
    <cellStyle name="Percent 7 2 2 4" xfId="2497" xr:uid="{D2F8DCED-60AA-4015-AC64-70142B55C353}"/>
    <cellStyle name="Percent 7 2 2 5" xfId="2498" xr:uid="{68156E29-DDDD-4B9F-A44D-2F26864B4DCE}"/>
    <cellStyle name="Percent 7 2 3" xfId="2499" xr:uid="{E83B749C-5F47-43B1-86E8-D9137D8940A5}"/>
    <cellStyle name="Percent 7 2 3 2" xfId="2500" xr:uid="{E5A105D1-90B1-4660-AC29-2EFD6A688E7F}"/>
    <cellStyle name="Percent 7 2 3 2 2" xfId="2501" xr:uid="{0A955082-1F57-4A2F-8B62-AD5A114CBE69}"/>
    <cellStyle name="Percent 7 2 3 2 3" xfId="2502" xr:uid="{1F36600A-FA89-4154-B044-F3C4ED2BA70D}"/>
    <cellStyle name="Percent 7 2 3 2 3 2" xfId="2503" xr:uid="{67BA0006-45D8-462B-A43F-B302FC75B759}"/>
    <cellStyle name="Percent 7 2 3 3" xfId="2504" xr:uid="{F2CF71C3-B510-4B3F-ACEB-CAA45BC67D5B}"/>
    <cellStyle name="Percent 7 2 3 4" xfId="2505" xr:uid="{D4409797-857B-4620-BD9F-23B33988B651}"/>
    <cellStyle name="Percent 7 2 3 4 2" xfId="2506" xr:uid="{0B66F870-3425-4D3B-9D8F-A44E69675FA1}"/>
    <cellStyle name="Percent 7 2 4" xfId="2507" xr:uid="{D0C3DB80-638F-42A2-B1F3-633B6D789867}"/>
    <cellStyle name="Percent 7 2 4 2" xfId="2508" xr:uid="{2B8FC345-5406-4A49-8872-1286A5608945}"/>
    <cellStyle name="Percent 7 2 4 3" xfId="2509" xr:uid="{1B813054-027F-4E09-871D-15734B6FAEB0}"/>
    <cellStyle name="Percent 7 2 4 3 2" xfId="2510" xr:uid="{FE2006AE-D6ED-46BE-A69B-3C400669C6F2}"/>
    <cellStyle name="Percent 7 2 5" xfId="2511" xr:uid="{AB748764-2F48-44F9-8705-6C0ABEFB055B}"/>
    <cellStyle name="Percent 7 2 6" xfId="2512" xr:uid="{9240985A-0E6E-49BD-BD2B-08F53C3DFA61}"/>
    <cellStyle name="Percent 7 2 6 2" xfId="2513" xr:uid="{5606A4CC-36B3-43B7-8A9B-8A16CCF1C649}"/>
    <cellStyle name="Percent 7 3" xfId="2514" xr:uid="{27AA27DB-2E77-4BB2-BFC3-0E9F4CF19CAF}"/>
    <cellStyle name="Percent 7 3 2" xfId="2515" xr:uid="{3B09B8A6-4A4E-4787-8672-43EA2326D2E5}"/>
    <cellStyle name="Percent 7 3 2 2" xfId="2516" xr:uid="{6E322A06-A964-46D7-879E-351A534FD45F}"/>
    <cellStyle name="Percent 7 3 2 2 2" xfId="2517" xr:uid="{3DC0350A-F552-4D2A-9C84-1BDFC6DA0419}"/>
    <cellStyle name="Percent 7 3 2 2 3" xfId="2518" xr:uid="{798AD329-4CF5-4F8B-AED5-168B75D05A8D}"/>
    <cellStyle name="Percent 7 3 2 3" xfId="2519" xr:uid="{EB977968-5230-4D2A-ABB5-10E64DA781F1}"/>
    <cellStyle name="Percent 7 3 2 4" xfId="2520" xr:uid="{C477AC1E-E5FA-4ABE-A6EE-A43118274351}"/>
    <cellStyle name="Percent 7 3 3" xfId="2521" xr:uid="{E8294E57-DBB5-4A3F-B94D-4857CE8407FD}"/>
    <cellStyle name="Percent 7 3 3 2" xfId="2522" xr:uid="{08F04712-B6C7-40A5-91BC-EF9023BD2FBE}"/>
    <cellStyle name="Percent 7 3 3 3" xfId="2523" xr:uid="{26A467B8-E1F2-4B63-8C06-CFF8B6E84F3B}"/>
    <cellStyle name="Percent 7 3 4" xfId="2524" xr:uid="{D3D2012F-7F8F-4854-996D-6A87926870CA}"/>
    <cellStyle name="Percent 7 3 5" xfId="2525" xr:uid="{D319E373-4940-4162-BF9F-0820EABC5AF8}"/>
    <cellStyle name="Percent 7 4" xfId="2526" xr:uid="{19106674-66B4-46C8-BEEF-34B8654E09AF}"/>
    <cellStyle name="Percent 7 5" xfId="2527" xr:uid="{CFB51C61-0CC2-4FC9-BD14-1677F931D442}"/>
    <cellStyle name="Percent 7 5 2" xfId="2528" xr:uid="{C49EA550-7987-49BF-8356-6367CF917765}"/>
    <cellStyle name="Percent 7 5 2 2" xfId="2529" xr:uid="{F4DE106A-C552-48E1-9BD9-A45BE83B5FF9}"/>
    <cellStyle name="Percent 7 5 2 3" xfId="2530" xr:uid="{2CB189F5-6477-4672-BE3C-22E2CE40270A}"/>
    <cellStyle name="Percent 7 5 3" xfId="2531" xr:uid="{EA4B4675-8BE6-422D-BD4B-B483FD49B2BC}"/>
    <cellStyle name="Percent 7 5 4" xfId="2532" xr:uid="{A68234AE-B31A-450A-89AB-6666714D2A7D}"/>
    <cellStyle name="Percent 7 6" xfId="2533" xr:uid="{037B1677-F98E-4F47-AF12-6CAAF8B0897C}"/>
    <cellStyle name="Percent 7 6 2" xfId="2534" xr:uid="{A172199E-A6AA-4904-AC97-645F1CF1A0AB}"/>
    <cellStyle name="Percent 7 6 3" xfId="2535" xr:uid="{D7D1FC86-D8BB-4614-83AC-BF9ACBC5E01E}"/>
    <cellStyle name="Percent 7 7" xfId="2536" xr:uid="{8BFA17C3-1705-433A-BF6E-61C1030352F9}"/>
    <cellStyle name="Percent 7 8" xfId="2537" xr:uid="{0C7C491F-FB8F-47AB-A306-BAF19033CDBA}"/>
    <cellStyle name="Percent 8" xfId="2538" xr:uid="{3BAD7498-6678-4B15-9C6A-0E30AD7BC35A}"/>
    <cellStyle name="Percent 8 2" xfId="2539" xr:uid="{AA1E5FC1-72E0-4FD4-8C0F-706E7CEB4B58}"/>
    <cellStyle name="Percent 8 2 2" xfId="2540" xr:uid="{1D98B19E-B4EE-49AE-B1C1-772AA28499A0}"/>
    <cellStyle name="Percent 8 2 2 2" xfId="2541" xr:uid="{BF3BE11A-E0E4-4771-9D80-969BCB418F6B}"/>
    <cellStyle name="Percent 8 2 2 2 2" xfId="2542" xr:uid="{554B9038-4CD9-47A0-AA33-B32589C2C6E0}"/>
    <cellStyle name="Percent 8 2 2 2 2 2" xfId="2543" xr:uid="{13C3AD63-23ED-4222-87DB-AED0904F31E6}"/>
    <cellStyle name="Percent 8 2 2 2 2 3" xfId="2544" xr:uid="{9C139E43-5254-4B16-B8C0-89EFE1F13CAD}"/>
    <cellStyle name="Percent 8 2 2 2 3" xfId="2545" xr:uid="{8CE3576F-4DB8-45CD-BCD8-D3C7CA4DE7BC}"/>
    <cellStyle name="Percent 8 2 2 2 4" xfId="2546" xr:uid="{4DEF1FA9-EEE8-403B-88BB-895994FE90BD}"/>
    <cellStyle name="Percent 8 2 2 3" xfId="2547" xr:uid="{2063835F-6915-4094-B6C3-674F07917272}"/>
    <cellStyle name="Percent 8 2 2 3 2" xfId="2548" xr:uid="{4163FDD4-1905-4F70-BFAC-77C6EFE6CF9A}"/>
    <cellStyle name="Percent 8 2 2 3 3" xfId="2549" xr:uid="{6F3BA6D9-8E96-47CC-A2B5-0D622C31C85D}"/>
    <cellStyle name="Percent 8 2 2 4" xfId="2550" xr:uid="{72665F4D-3E87-4DFD-A5F4-35F95B2E5890}"/>
    <cellStyle name="Percent 8 2 2 5" xfId="2551" xr:uid="{C090F21C-9091-42B3-9579-72F1537D56D9}"/>
    <cellStyle name="Percent 8 2 3" xfId="2552" xr:uid="{59E0DE11-18A0-448F-BBF6-CC880AF3AC1E}"/>
    <cellStyle name="Percent 8 2 3 2" xfId="2553" xr:uid="{63C7B815-9FEC-44E2-83F7-6708F3F829F4}"/>
    <cellStyle name="Percent 8 2 3 2 2" xfId="2554" xr:uid="{AACB619D-7AF5-455B-AC43-504117BBDD72}"/>
    <cellStyle name="Percent 8 2 3 2 3" xfId="2555" xr:uid="{1D4420CF-B221-42A0-BD8F-7BF656F80832}"/>
    <cellStyle name="Percent 8 2 3 2 3 2" xfId="2556" xr:uid="{978232A8-3FB9-405F-9BA9-DA8E4F457F2B}"/>
    <cellStyle name="Percent 8 2 3 3" xfId="2557" xr:uid="{67040BFB-0A21-4FBC-B3D2-616F1CB3FC84}"/>
    <cellStyle name="Percent 8 2 3 4" xfId="2558" xr:uid="{AF34D590-12F9-4AFA-B92C-B5755121341A}"/>
    <cellStyle name="Percent 8 2 3 4 2" xfId="2559" xr:uid="{7D0CBA79-D64D-426B-9CD9-C74A4C42614A}"/>
    <cellStyle name="Percent 8 2 4" xfId="2560" xr:uid="{AEE89596-A5DA-4EE3-96D4-E01558BB67D0}"/>
    <cellStyle name="Percent 8 2 4 2" xfId="2561" xr:uid="{B2129FD2-E6D1-4595-BAAC-6977927621FA}"/>
    <cellStyle name="Percent 8 2 4 3" xfId="2562" xr:uid="{23BACAC8-0284-4692-A521-AE33DBD532CB}"/>
    <cellStyle name="Percent 8 2 4 3 2" xfId="2563" xr:uid="{05EDA4D5-C186-48ED-8417-77122FEA8AAC}"/>
    <cellStyle name="Percent 8 2 5" xfId="2564" xr:uid="{4270A855-3DB9-4AC1-BC80-F09557C94E5A}"/>
    <cellStyle name="Percent 8 2 6" xfId="2565" xr:uid="{3ADE706C-5E9F-485E-A253-3EDCC79D8917}"/>
    <cellStyle name="Percent 8 2 6 2" xfId="2566" xr:uid="{D4B1D9DF-D7B3-4643-8203-DB22A6DD3296}"/>
    <cellStyle name="Percent 8 3" xfId="2567" xr:uid="{77576D27-8555-49FC-BE1E-C7D2EA10F7D7}"/>
    <cellStyle name="Percent 8 3 2" xfId="2568" xr:uid="{4F73B79B-4331-40FB-A15B-0E637E918D97}"/>
    <cellStyle name="Percent 8 3 2 2" xfId="2569" xr:uid="{5BDF5937-BF07-4236-BACF-5FA1DBD7CB0A}"/>
    <cellStyle name="Percent 8 3 2 2 2" xfId="2570" xr:uid="{749DA37C-1196-45F8-9A2F-1726E1181D8E}"/>
    <cellStyle name="Percent 8 3 2 2 3" xfId="2571" xr:uid="{F4A80552-D8F6-4234-942E-FDD0E633ECB7}"/>
    <cellStyle name="Percent 8 3 2 3" xfId="2572" xr:uid="{9CE637F4-4DD9-4852-BC21-355A012C97BB}"/>
    <cellStyle name="Percent 8 3 2 4" xfId="2573" xr:uid="{3CD9911E-0C85-47F1-A196-73969BDD0FEE}"/>
    <cellStyle name="Percent 8 3 3" xfId="2574" xr:uid="{5083EA47-E283-4DE3-A109-2613515EB755}"/>
    <cellStyle name="Percent 8 3 3 2" xfId="2575" xr:uid="{F1B67A23-5E7F-4B1C-B2D7-80B1316CB4A5}"/>
    <cellStyle name="Percent 8 3 3 3" xfId="2576" xr:uid="{943F1E9F-CA71-4C04-88D3-F54C65A8F270}"/>
    <cellStyle name="Percent 8 3 4" xfId="2577" xr:uid="{DB078518-A97A-40F4-A781-DD2A8BCDE65C}"/>
    <cellStyle name="Percent 8 3 5" xfId="2578" xr:uid="{6E36C561-5471-42D9-A516-9BAC8AC9274F}"/>
    <cellStyle name="Percent 8 4" xfId="2579" xr:uid="{7A41FE87-0154-46B3-8ACC-97DEF566106A}"/>
    <cellStyle name="Percent 8 5" xfId="2580" xr:uid="{5E2A5498-FBE5-4522-AE2F-02F643E42BB1}"/>
    <cellStyle name="Percent 8 5 2" xfId="2581" xr:uid="{C384AF8C-1DD7-41E9-B7C8-E7E8481C714F}"/>
    <cellStyle name="Percent 8 5 2 2" xfId="2582" xr:uid="{BC35DE58-A64E-4273-9304-13C5E0788B35}"/>
    <cellStyle name="Percent 8 5 2 3" xfId="2583" xr:uid="{0F8EE9F0-3834-4AF9-A22F-53451423180B}"/>
    <cellStyle name="Percent 8 5 3" xfId="2584" xr:uid="{19DF3939-ADEE-4ADB-82D6-6563D0002ED9}"/>
    <cellStyle name="Percent 8 5 4" xfId="2585" xr:uid="{0B828012-A215-48C5-BAE4-F3048098D721}"/>
    <cellStyle name="Percent 8 6" xfId="2586" xr:uid="{C032FB8B-CBC8-4367-87D3-E960858C70E4}"/>
    <cellStyle name="Percent 8 6 2" xfId="2587" xr:uid="{5159CF14-2EE2-494E-B4F0-BE5DC4D63BDD}"/>
    <cellStyle name="Percent 8 6 3" xfId="2588" xr:uid="{8F98D738-8D14-4F37-B910-DC859BD37614}"/>
    <cellStyle name="Percent 8 7" xfId="2589" xr:uid="{DAF1168A-7B41-4BA7-8A4E-2C4A9EFD96B6}"/>
    <cellStyle name="Percent 8 8" xfId="2590" xr:uid="{5215C2C3-E898-43E4-A2EA-C47FE908DB0F}"/>
    <cellStyle name="Percent 9" xfId="2591" xr:uid="{10A40E49-6AC6-4342-BF8A-6A4C90EE04A9}"/>
    <cellStyle name="Percent 9 2" xfId="2592" xr:uid="{5A88ECFE-ABD7-4DB9-BA5A-DB8E309C6646}"/>
    <cellStyle name="Percent 9 2 2" xfId="2593" xr:uid="{2B26849D-F557-47FE-82C0-160128EDF8AF}"/>
    <cellStyle name="Percent 9 2 2 2" xfId="2594" xr:uid="{2750E9CF-5E50-4E32-A427-E003A5E8E183}"/>
    <cellStyle name="Percent 9 2 2 2 2" xfId="2595" xr:uid="{0EEE2796-7D8A-438A-960D-3C45B6F3645B}"/>
    <cellStyle name="Percent 9 2 2 2 2 2" xfId="2596" xr:uid="{E37A9CF4-4C7E-4343-9A57-D5E44F8E553F}"/>
    <cellStyle name="Percent 9 2 2 2 2 3" xfId="2597" xr:uid="{C53F4621-6EC2-4272-8E8D-6524385FF120}"/>
    <cellStyle name="Percent 9 2 2 2 3" xfId="2598" xr:uid="{273F4E3E-6804-4774-9578-DB18225039F2}"/>
    <cellStyle name="Percent 9 2 2 2 4" xfId="2599" xr:uid="{CBFFEB76-8CC4-4D37-86A8-AA2DC7B9B998}"/>
    <cellStyle name="Percent 9 2 2 3" xfId="2600" xr:uid="{83140E88-68D4-4922-9021-8DA208A6DD72}"/>
    <cellStyle name="Percent 9 2 2 3 2" xfId="2601" xr:uid="{AF603AEA-A8CB-4160-BD78-29AC9947E1BD}"/>
    <cellStyle name="Percent 9 2 2 3 3" xfId="2602" xr:uid="{11A034F9-6794-4420-A8F0-3129498D01B9}"/>
    <cellStyle name="Percent 9 2 2 4" xfId="2603" xr:uid="{716C03CB-2BBC-4353-9364-9B5721CA7B2B}"/>
    <cellStyle name="Percent 9 2 2 5" xfId="2604" xr:uid="{DF092A41-D980-4E3F-BBCE-A90CD5D5D50E}"/>
    <cellStyle name="Percent 9 2 3" xfId="2605" xr:uid="{37004BDB-E6A8-4A11-8EE4-C5CB745887E9}"/>
    <cellStyle name="Percent 9 2 3 2" xfId="2606" xr:uid="{93589642-4A73-43C5-A840-2792A3F42C29}"/>
    <cellStyle name="Percent 9 2 3 2 2" xfId="2607" xr:uid="{2F707198-AC97-4DCD-A4A1-0FDD95AD569B}"/>
    <cellStyle name="Percent 9 2 3 2 3" xfId="2608" xr:uid="{ADC0B6CC-4929-4703-BE6F-3076799783B9}"/>
    <cellStyle name="Percent 9 2 3 2 3 2" xfId="2609" xr:uid="{9B267628-70A6-4E04-8E6D-8D30DA7874AA}"/>
    <cellStyle name="Percent 9 2 3 3" xfId="2610" xr:uid="{61D09356-35C2-49CC-A306-54EA653E6BE7}"/>
    <cellStyle name="Percent 9 2 3 4" xfId="2611" xr:uid="{1C3C5E9D-831C-4EF2-ACA4-295ADA3C3B01}"/>
    <cellStyle name="Percent 9 2 3 4 2" xfId="2612" xr:uid="{A92BD288-BF31-4058-A154-3725607A8B8F}"/>
    <cellStyle name="Percent 9 2 4" xfId="2613" xr:uid="{F42724DE-673A-4B0F-AEC1-E967A63EC939}"/>
    <cellStyle name="Percent 9 2 4 2" xfId="2614" xr:uid="{F8C3B949-CA60-478E-BB64-1F27B3428A47}"/>
    <cellStyle name="Percent 9 2 4 3" xfId="2615" xr:uid="{B101E6AD-D9EE-4446-95A1-437AA34A46D1}"/>
    <cellStyle name="Percent 9 2 4 3 2" xfId="2616" xr:uid="{A03B7C15-41CF-4448-B0EB-21FE69D084DD}"/>
    <cellStyle name="Percent 9 2 5" xfId="2617" xr:uid="{F8A5BDEF-2C15-46D0-B77C-495F89DEDFDC}"/>
    <cellStyle name="Percent 9 2 6" xfId="2618" xr:uid="{ABF07F73-BB59-4C16-8F5D-C80E889EB81F}"/>
    <cellStyle name="Percent 9 2 6 2" xfId="2619" xr:uid="{F84D1B53-612A-4041-9D2D-7B28ABDB6BDA}"/>
    <cellStyle name="Percent 9 3" xfId="2620" xr:uid="{ADD30A17-DCE5-46E6-A815-B00E49EC1741}"/>
    <cellStyle name="Percent 9 3 2" xfId="2621" xr:uid="{0667BE0F-9DFC-4368-83DF-B5FA1CC874CF}"/>
    <cellStyle name="Percent 9 3 2 2" xfId="2622" xr:uid="{C27F0E8D-8176-4437-8A8C-79C8B3BEF250}"/>
    <cellStyle name="Percent 9 3 2 2 2" xfId="2623" xr:uid="{B1232981-BD93-45ED-832A-796A17FB4502}"/>
    <cellStyle name="Percent 9 3 2 2 3" xfId="2624" xr:uid="{DDB38D4E-A8A7-4779-A740-675C48C3CDF5}"/>
    <cellStyle name="Percent 9 3 2 3" xfId="2625" xr:uid="{D9960A8A-59A1-4E18-B7E9-FC151C04AF14}"/>
    <cellStyle name="Percent 9 3 2 4" xfId="2626" xr:uid="{7615A83E-2B16-446C-BCFC-02148A604AD3}"/>
    <cellStyle name="Percent 9 3 3" xfId="2627" xr:uid="{B8F9D4AD-9457-4B6A-ABF0-1476738FB4CE}"/>
    <cellStyle name="Percent 9 3 3 2" xfId="2628" xr:uid="{36EC119F-F007-4DCF-AAB4-79F5BAFC0033}"/>
    <cellStyle name="Percent 9 3 3 3" xfId="2629" xr:uid="{506C06FE-8A06-4F36-8A82-386CA67E1819}"/>
    <cellStyle name="Percent 9 3 4" xfId="2630" xr:uid="{AAC24739-63E2-4750-B32E-A9041B007002}"/>
    <cellStyle name="Percent 9 3 5" xfId="2631" xr:uid="{93776102-8293-4CBC-8A4F-5E139691BA7F}"/>
    <cellStyle name="Percent 9 4" xfId="2632" xr:uid="{FBCD2C8D-29F7-4EF9-85EF-76B978F723EE}"/>
    <cellStyle name="Percent 9 4 2" xfId="2633" xr:uid="{9BD0CBE7-EE54-4C57-9BAE-4218452299B6}"/>
    <cellStyle name="Percent 9 4 2 2" xfId="2634" xr:uid="{06735DAF-BF24-4C80-A90F-FF3A35BF4160}"/>
    <cellStyle name="Percent 9 4 2 3" xfId="2635" xr:uid="{72DB3D3B-BC30-41F7-A44E-FB9595D6F836}"/>
    <cellStyle name="Percent 9 4 3" xfId="2636" xr:uid="{C14986C4-75E1-4FA7-A7A7-EC2877574A1F}"/>
    <cellStyle name="Percent 9 4 4" xfId="2637" xr:uid="{0403FCF5-9865-4E3E-B22A-5A624C790307}"/>
    <cellStyle name="Percent 9 5" xfId="2638" xr:uid="{3964DFF6-07B4-44DF-8D88-2F80A57B0738}"/>
    <cellStyle name="Percent 9 5 2" xfId="2639" xr:uid="{6506C063-1F13-4B96-A86A-909EEED58ED8}"/>
    <cellStyle name="Percent 9 5 3" xfId="2640" xr:uid="{EC5AEED1-7CCE-4972-A05F-DC4F886AA158}"/>
    <cellStyle name="Percent 9 6" xfId="2641" xr:uid="{77A479E5-B2A1-41A3-8458-7DB3D349A4EB}"/>
    <cellStyle name="Percent 9 7" xfId="2642" xr:uid="{332B187C-80BE-44F5-BB8E-6F272D4E0B36}"/>
    <cellStyle name="Prot $,(0)" xfId="2643" xr:uid="{FAB020DC-7E49-40E8-9039-7592A0215984}"/>
    <cellStyle name="Prot Fixed (1)" xfId="2644" xr:uid="{309A7C85-45B1-491D-92F4-11D34E3C220D}"/>
    <cellStyle name="Prot, (0)" xfId="2645" xr:uid="{98D7C93C-FBD7-4B55-89D4-03BED44F05BC}"/>
    <cellStyle name="Prot, Fixed (2)" xfId="2646" xr:uid="{6D4AC634-E1BE-4E2C-90A0-36B106F74673}"/>
    <cellStyle name="RevList" xfId="2647" xr:uid="{87AFEECB-FDE7-449C-97C8-9327B1D1E9FD}"/>
    <cellStyle name="RevList 2" xfId="2648" xr:uid="{9D75139B-8388-4198-881D-A2DE83F21A84}"/>
    <cellStyle name="Sheet Title" xfId="2649" xr:uid="{81494335-C9C1-4C67-8DDC-74C2A398A2EF}"/>
    <cellStyle name="style" xfId="2650" xr:uid="{D1D51FEE-E256-4805-AA13-DB43DB60ACC5}"/>
    <cellStyle name="Style 1" xfId="2651" xr:uid="{7582BAA4-222C-4ACA-8153-0250520033E3}"/>
    <cellStyle name="style 10" xfId="2652" xr:uid="{2819E7FD-DE09-4411-B6AF-4B47E9EF7DF0}"/>
    <cellStyle name="style 11" xfId="2653" xr:uid="{DEF9CFAD-61B5-40E1-83CF-A5CD7D09519E}"/>
    <cellStyle name="style 12" xfId="2654" xr:uid="{8BC4169C-71BF-4DD5-9D99-DF7445F9B290}"/>
    <cellStyle name="style 13" xfId="2655" xr:uid="{D2D1FAD0-0A62-41EF-840F-4539D6FF3E56}"/>
    <cellStyle name="style 14" xfId="2656" xr:uid="{88A12AF5-E177-4F77-9F72-C0AFB47C5F45}"/>
    <cellStyle name="style 15" xfId="2657" xr:uid="{67529E36-ED10-44B0-80EF-11A60B32FA11}"/>
    <cellStyle name="style 16" xfId="2658" xr:uid="{6FACDF6C-6E00-4E82-8B48-BEC8530FA9BF}"/>
    <cellStyle name="style 17" xfId="2659" xr:uid="{D950527F-F3AD-4232-AC73-490808E40055}"/>
    <cellStyle name="style 18" xfId="2660" xr:uid="{54FFB777-EE34-4D0D-8184-8A839C8B2F55}"/>
    <cellStyle name="style 19" xfId="2661" xr:uid="{78BF97A1-6CEA-4371-9498-F441AB17E730}"/>
    <cellStyle name="style 2" xfId="2662" xr:uid="{46A9C87F-7AC5-451F-B65A-34352A66D186}"/>
    <cellStyle name="style 3" xfId="2663" xr:uid="{2DEFBF55-93AA-418C-93F2-FB595DB4290C}"/>
    <cellStyle name="style 4" xfId="2664" xr:uid="{AA40F1A0-1387-4E14-A033-B36F7F14ED0B}"/>
    <cellStyle name="style 5" xfId="2665" xr:uid="{41F0752B-4156-42A7-A861-FCB5E5EAF507}"/>
    <cellStyle name="style 6" xfId="2666" xr:uid="{F74566FB-8894-4A29-BEC4-AF40866F3422}"/>
    <cellStyle name="style 7" xfId="2667" xr:uid="{17982274-60F0-41F7-815C-E90C780FE929}"/>
    <cellStyle name="style 8" xfId="2668" xr:uid="{B82703EA-ECE2-46C1-8DD4-1A442BC00D59}"/>
    <cellStyle name="style 9" xfId="2669" xr:uid="{991B193A-7800-4318-B838-034DED523D04}"/>
    <cellStyle name="style1" xfId="2670" xr:uid="{F6A056A4-5508-4792-B83F-0A70D69B6EC8}"/>
    <cellStyle name="style1 10" xfId="2671" xr:uid="{4A35900F-AB5F-43F2-8C20-99851AFA4E30}"/>
    <cellStyle name="style1 11" xfId="2672" xr:uid="{B2F585CC-D36D-4001-B3E8-C4ECC8DFC93C}"/>
    <cellStyle name="style1 12" xfId="2673" xr:uid="{459CDEF2-FADC-4A84-836E-80ECD40FA4C7}"/>
    <cellStyle name="style1 13" xfId="2674" xr:uid="{64278711-50DC-4981-9607-FA46A1EC1439}"/>
    <cellStyle name="style1 14" xfId="2675" xr:uid="{F35C4F04-AC5E-4719-B1E6-A45E3646F0D7}"/>
    <cellStyle name="style1 15" xfId="2676" xr:uid="{F7443F98-9C47-4911-B9D9-283B34A8C55D}"/>
    <cellStyle name="style1 16" xfId="2677" xr:uid="{B173D9CF-FE67-421F-BF06-A0C279E24945}"/>
    <cellStyle name="style1 17" xfId="2678" xr:uid="{DEF1D4DC-4814-44E6-9302-8C92FA59BEBA}"/>
    <cellStyle name="style1 18" xfId="2679" xr:uid="{3E7A0DD8-400A-44EF-8E81-46AC24DF95A9}"/>
    <cellStyle name="style1 19" xfId="2680" xr:uid="{110EE045-CBF5-4582-AD14-D956C6561D10}"/>
    <cellStyle name="style1 2" xfId="2681" xr:uid="{BFC2DB37-1CCF-40D7-BB69-F2C842273AC3}"/>
    <cellStyle name="style1 3" xfId="2682" xr:uid="{C8503CCD-AAE4-4BCA-8ADD-27C484E03F2B}"/>
    <cellStyle name="style1 4" xfId="2683" xr:uid="{1A9E1D65-73E9-41B1-A8E3-46F421EE0B0D}"/>
    <cellStyle name="style1 5" xfId="2684" xr:uid="{0C9C4194-9AC6-4903-9053-C27EE0A26FE1}"/>
    <cellStyle name="style1 6" xfId="2685" xr:uid="{D873AA86-2B8F-40D8-BCB2-EEDEF4EDF35B}"/>
    <cellStyle name="style1 7" xfId="2686" xr:uid="{28D77142-4F31-4EBF-BBC1-5CB718C5A035}"/>
    <cellStyle name="style1 8" xfId="2687" xr:uid="{1601E4F1-C4C8-4151-907B-F196DEFD24CC}"/>
    <cellStyle name="style1 9" xfId="2688" xr:uid="{15C2A1C9-682F-43F7-94A1-36B1664C5C43}"/>
    <cellStyle name="style2" xfId="2689" xr:uid="{F9D619EC-1E7F-46FC-8894-085A28FAD419}"/>
    <cellStyle name="style2 10" xfId="2690" xr:uid="{A76C164A-EF83-4593-867D-660BF6EA9546}"/>
    <cellStyle name="style2 11" xfId="2691" xr:uid="{59F120EB-FE30-41A3-9150-22938B60FCB1}"/>
    <cellStyle name="style2 12" xfId="2692" xr:uid="{13D27318-C1FE-48A6-B345-7C60CE272D65}"/>
    <cellStyle name="style2 13" xfId="2693" xr:uid="{7CC7A640-73DF-4695-9CA9-0B0272FE7304}"/>
    <cellStyle name="style2 14" xfId="2694" xr:uid="{4A37F3D1-533C-4CB5-B811-D043E36CC884}"/>
    <cellStyle name="style2 15" xfId="2695" xr:uid="{68BD959C-FB26-40F8-9F09-56FBB49214B2}"/>
    <cellStyle name="style2 16" xfId="2696" xr:uid="{37AD0D49-19D8-40E1-9FBC-FDA68CE2B781}"/>
    <cellStyle name="style2 17" xfId="2697" xr:uid="{7F25B3E6-B46A-4DA7-818E-91E4A0965AFD}"/>
    <cellStyle name="style2 18" xfId="2698" xr:uid="{898907E9-040C-4746-A63C-AD67A2476D77}"/>
    <cellStyle name="style2 19" xfId="2699" xr:uid="{83DE9C72-67CB-447D-8293-98BD1F2E8A3F}"/>
    <cellStyle name="style2 2" xfId="2700" xr:uid="{3A65E691-F42C-4002-8921-5DBDAA536E2E}"/>
    <cellStyle name="style2 3" xfId="2701" xr:uid="{E6C79E61-BA90-4A08-AD9D-72B1AFCC7B3F}"/>
    <cellStyle name="style2 4" xfId="2702" xr:uid="{6D497B75-1A63-4B29-A5F2-352D67771DD0}"/>
    <cellStyle name="style2 5" xfId="2703" xr:uid="{6959601D-BCD8-4ABD-AD3F-0FE77225A8CD}"/>
    <cellStyle name="style2 6" xfId="2704" xr:uid="{C526AD32-C84F-48DC-8362-4212ABAD4CAE}"/>
    <cellStyle name="style2 7" xfId="2705" xr:uid="{2BE4F7E4-0A2B-48D6-BB09-D98B1E61A3CB}"/>
    <cellStyle name="style2 8" xfId="2706" xr:uid="{572009F9-4943-479E-A1CF-DE9F95546762}"/>
    <cellStyle name="style2 9" xfId="2707" xr:uid="{AFB73A05-B279-4A38-9BC6-589251224D0E}"/>
    <cellStyle name="Subtotal" xfId="2708" xr:uid="{0434DAFC-9B57-4407-BE7B-42D55689453F}"/>
    <cellStyle name="þ_x001d_ð &amp;ý&amp;†ýG_x0008_ X_x000a__x0007__x0001__x0001_" xfId="2709" xr:uid="{AEDDA1F1-4432-4984-9EE8-7CB785ED7032}"/>
    <cellStyle name="þ_x001d_ð &amp;ý&amp;†ýG_x0008_ X_x000d__x0007__x0001__x0001_" xfId="2710" xr:uid="{C369E76D-53EF-48C9-932C-E1300271549D}"/>
    <cellStyle name="þ_x001d_ð &amp;ý&amp;†ýG_x0008_ X_x000d__x0007__x0001__x0001_ 10" xfId="2711" xr:uid="{6A956A2C-63C8-46A4-9A81-F813DDC0B54C}"/>
    <cellStyle name="þ_x001d_ð &amp;ý&amp;†ýG_x0008_ X_x000d__x0007__x0001__x0001_ 11" xfId="2712" xr:uid="{E60DEBD1-A44B-41AB-96FA-9FB29F10865C}"/>
    <cellStyle name="þ_x001d_ð &amp;ý&amp;†ýG_x0008_ X_x000d__x0007__x0001__x0001_ 12" xfId="2713" xr:uid="{CD00A3F6-2715-4483-AFB2-32EF998EAA36}"/>
    <cellStyle name="þ_x001d_ð &amp;ý&amp;†ýG_x0008_ X_x000d__x0007__x0001__x0001_ 13" xfId="2714" xr:uid="{FE5E7D33-2039-49D3-9675-3E66FC931462}"/>
    <cellStyle name="þ_x001d_ð &amp;ý&amp;†ýG_x0008_ X_x000d__x0007__x0001__x0001_ 14" xfId="2715" xr:uid="{582357B5-4DF2-4B22-81A9-0440F9E1A99D}"/>
    <cellStyle name="þ_x001d_ð &amp;ý&amp;†ýG_x0008_ X_x000d__x0007__x0001__x0001_ 15" xfId="2716" xr:uid="{3A162332-67DA-4112-B2A8-0D943F06C249}"/>
    <cellStyle name="þ_x001d_ð &amp;ý&amp;†ýG_x0008_ X_x000d__x0007__x0001__x0001_ 16" xfId="2717" xr:uid="{F4C3908A-7B2B-4909-8ABD-10C22DD581D9}"/>
    <cellStyle name="þ_x001d_ð &amp;ý&amp;†ýG_x0008_ X_x000d__x0007__x0001__x0001_ 17" xfId="2718" xr:uid="{C9975D9C-56BB-49A1-9C6C-020CD8DA4CBE}"/>
    <cellStyle name="þ_x001d_ð &amp;ý&amp;†ýG_x0008_ X_x000d__x0007__x0001__x0001_ 18" xfId="2719" xr:uid="{0F7769AD-F786-4223-92B8-75033A819748}"/>
    <cellStyle name="þ_x001d_ð &amp;ý&amp;†ýG_x0008_ X_x000d__x0007__x0001__x0001_ 19" xfId="2720" xr:uid="{5E61F0A5-0D09-4E8A-912D-F65CD67CDAEE}"/>
    <cellStyle name="þ_x001d_ð &amp;ý&amp;†ýG_x0008_ X_x000d__x0007__x0001__x0001_ 2" xfId="2721" xr:uid="{06ADADED-008D-49C2-A4B3-E71D49F82968}"/>
    <cellStyle name="þ_x001d_ð &amp;ý&amp;†ýG_x0008_ X_x000d__x0007__x0001__x0001_ 2 2" xfId="2722" xr:uid="{F37AC59B-55E0-4BEE-84E9-70B167A70304}"/>
    <cellStyle name="þ_x001d_ð &amp;ý&amp;†ýG_x0008_ X_x000d__x0007__x0001__x0001_ 2 3" xfId="2723" xr:uid="{8011600B-21C4-49BB-90AF-7ADFEE5867E2}"/>
    <cellStyle name="þ_x001d_ð &amp;ý&amp;†ýG_x0008_ X_x000d__x0007__x0001__x0001_ 20" xfId="2724" xr:uid="{1E5335B7-1592-436A-A62B-988CA6F7A0F5}"/>
    <cellStyle name="þ_x001d_ð &amp;ý&amp;†ýG_x0008_ X_x000d__x0007__x0001__x0001_ 21" xfId="2725" xr:uid="{EB0035E3-B0C5-42F4-BE1F-F639C84AF5F4}"/>
    <cellStyle name="þ_x001d_ð &amp;ý&amp;†ýG_x0008_ X_x000d__x0007__x0001__x0001_ 22" xfId="2726" xr:uid="{94E4C1FD-01D8-4D2B-B4A1-469D0B90CB36}"/>
    <cellStyle name="þ_x001d_ð &amp;ý&amp;†ýG_x0008_ X_x000d__x0007__x0001__x0001_ 23" xfId="2727" xr:uid="{028BA392-6679-4C0B-9520-1E8C9415C09C}"/>
    <cellStyle name="þ_x001d_ð &amp;ý&amp;†ýG_x0008_ X_x000d__x0007__x0001__x0001_ 24" xfId="2728" xr:uid="{228C1ED0-CEE6-41CD-B6D2-B591E3E0C4D8}"/>
    <cellStyle name="þ_x001d_ð &amp;ý&amp;†ýG_x0008_ X_x000d__x0007__x0001__x0001_ 25" xfId="2729" xr:uid="{9419C65A-610C-43B1-9824-C589D3EB8B79}"/>
    <cellStyle name="þ_x001d_ð &amp;ý&amp;†ýG_x0008_ X_x000d__x0007__x0001__x0001_ 26" xfId="2730" xr:uid="{B9CCE0CE-2166-42DF-B678-900A1E583701}"/>
    <cellStyle name="þ_x001d_ð &amp;ý&amp;†ýG_x0008_ X_x000d__x0007__x0001__x0001_ 27" xfId="2731" xr:uid="{B6DEECF7-0F83-4FB9-B3CA-2EBD05FA5D4E}"/>
    <cellStyle name="þ_x001d_ð &amp;ý&amp;†ýG_x0008_ X_x000d__x0007__x0001__x0001_ 28" xfId="2732" xr:uid="{E22291BC-EA7F-4334-B32E-4196B3FDA8A9}"/>
    <cellStyle name="þ_x001d_ð &amp;ý&amp;†ýG_x0008_ X_x000d__x0007__x0001__x0001_ 29" xfId="2733" xr:uid="{BAC12429-1054-464B-B9E1-7C021C2625B8}"/>
    <cellStyle name="þ_x001d_ð &amp;ý&amp;†ýG_x0008_ X_x000d__x0007__x0001__x0001_ 3" xfId="2734" xr:uid="{67B04075-0728-4A21-B47E-C27BD2248634}"/>
    <cellStyle name="þ_x001d_ð &amp;ý&amp;†ýG_x0008_ X_x000d__x0007__x0001__x0001_ 30" xfId="2735" xr:uid="{765B1A85-7089-48C4-8F05-59B9D9C372B1}"/>
    <cellStyle name="þ_x001d_ð &amp;ý&amp;†ýG_x0008_ X_x000d__x0007__x0001__x0001_ 31" xfId="2736" xr:uid="{68955FBF-164A-4218-A987-1447F8484A15}"/>
    <cellStyle name="þ_x001d_ð &amp;ý&amp;†ýG_x0008_ X_x000d__x0007__x0001__x0001_ 32" xfId="2737" xr:uid="{0F40414D-BC5F-49DE-862A-A4FBD832908B}"/>
    <cellStyle name="þ_x001d_ð &amp;ý&amp;†ýG_x0008_ X_x000d__x0007__x0001__x0001_ 4" xfId="2738" xr:uid="{E290F930-3762-4302-AA12-8D9663F0CF2E}"/>
    <cellStyle name="þ_x001d_ð &amp;ý&amp;†ýG_x0008_ X_x000d__x0007__x0001__x0001_ 5" xfId="2739" xr:uid="{8AB252B5-7405-4A3B-9C8D-33AB904B5DAC}"/>
    <cellStyle name="þ_x001d_ð &amp;ý&amp;†ýG_x0008_ X_x000d__x0007__x0001__x0001_ 6" xfId="2740" xr:uid="{F4A9CA79-8114-4D40-973A-7B8206797492}"/>
    <cellStyle name="þ_x001d_ð &amp;ý&amp;†ýG_x0008_ X_x000d__x0007__x0001__x0001_ 7" xfId="2741" xr:uid="{68DC91EA-E1AF-4D8C-99BE-329FE301CC8A}"/>
    <cellStyle name="þ_x001d_ð &amp;ý&amp;†ýG_x0008_ X_x000d__x0007__x0001__x0001_ 8" xfId="2742" xr:uid="{FA8344B3-647D-44AA-AA7B-E1F58E32B801}"/>
    <cellStyle name="þ_x001d_ð &amp;ý&amp;†ýG_x0008_ X_x000d__x0007__x0001__x0001_ 9" xfId="2743" xr:uid="{6C81AF17-2A5D-4740-A03D-0BBBBF11D4DB}"/>
    <cellStyle name="þ_x001d_ð&quot;_x000c_Býò_x000c_5ýU_x0001_e_x0005_¹,_x0007__x0001__x0001_" xfId="2744" xr:uid="{76A0F20D-541C-4765-8CA8-19655396BA35}"/>
    <cellStyle name="þ_x001d_ð&quot;_x000c_Býò_x000c_5ýU_x0001_e_x0005_¹,_x0007__x0001__x0001_ 10" xfId="2745" xr:uid="{14987E2F-123A-4C79-81C6-085B16E792C6}"/>
    <cellStyle name="þ_x001d_ð&quot;_x000c_Býò_x000c_5ýU_x0001_e_x0005_¹,_x0007__x0001__x0001_ 11" xfId="2746" xr:uid="{1D94824C-F483-47A3-BBE9-3CFC1224A478}"/>
    <cellStyle name="þ_x001d_ð&quot;_x000c_Býò_x000c_5ýU_x0001_e_x0005_¹,_x0007__x0001__x0001_ 12" xfId="2747" xr:uid="{012642DD-DF9C-4878-BA20-F75F65428E29}"/>
    <cellStyle name="þ_x001d_ð&quot;_x000c_Býò_x000c_5ýU_x0001_e_x0005_¹,_x0007__x0001__x0001_ 13" xfId="2748" xr:uid="{2A2FBF3F-ECF0-4D85-91E8-AC8CB9FA8176}"/>
    <cellStyle name="þ_x001d_ð&quot;_x000c_Býò_x000c_5ýU_x0001_e_x0005_¹,_x0007__x0001__x0001_ 14" xfId="2749" xr:uid="{769D8F7E-E0BB-4E92-9A90-16ABCCF075FF}"/>
    <cellStyle name="þ_x001d_ð&quot;_x000c_Býò_x000c_5ýU_x0001_e_x0005_¹,_x0007__x0001__x0001_ 15" xfId="2750" xr:uid="{AC2725BE-22C5-4DA4-ACEF-5F4FA0717AB3}"/>
    <cellStyle name="þ_x001d_ð&quot;_x000c_Býò_x000c_5ýU_x0001_e_x0005_¹,_x0007__x0001__x0001_ 16" xfId="2751" xr:uid="{B3DC319B-E472-4B07-81D3-26B870CB2662}"/>
    <cellStyle name="þ_x001d_ð&quot;_x000c_Býò_x000c_5ýU_x0001_e_x0005_¹,_x0007__x0001__x0001_ 17" xfId="2752" xr:uid="{44DE450D-6AFA-4893-8011-77FA21E1FCEA}"/>
    <cellStyle name="þ_x001d_ð&quot;_x000c_Býò_x000c_5ýU_x0001_e_x0005_¹,_x0007__x0001__x0001_ 18" xfId="2753" xr:uid="{4BADC1AD-A5A8-42B2-B404-7AFAB4EECECF}"/>
    <cellStyle name="þ_x001d_ð&quot;_x000c_Býò_x000c_5ýU_x0001_e_x0005_¹,_x0007__x0001__x0001_ 19" xfId="2754" xr:uid="{1E245665-3C9A-41E0-83EB-424AB45DE397}"/>
    <cellStyle name="þ_x001d_ð&quot;_x000c_Býò_x000c_5ýU_x0001_e_x0005_¹,_x0007__x0001__x0001_ 2" xfId="2755" xr:uid="{D08DDEF0-4DBB-47C7-95CA-B346F74BA1D3}"/>
    <cellStyle name="þ_x001d_ð&quot;_x000c_Býò_x000c_5ýU_x0001_e_x0005_¹,_x0007__x0001__x0001_ 2 2" xfId="2756" xr:uid="{CCB4302E-74BD-48DA-8526-17BD5AB78749}"/>
    <cellStyle name="þ_x001d_ð&quot;_x000c_Býò_x000c_5ýU_x0001_e_x0005_¹,_x0007__x0001__x0001_ 2 2 2" xfId="2757" xr:uid="{D8E5CEF9-35FE-41EF-AD9E-391060E3CBC9}"/>
    <cellStyle name="þ_x001d_ð&quot;_x000c_Býò_x000c_5ýU_x0001_e_x0005_¹,_x0007__x0001__x0001_ 2 3" xfId="2758" xr:uid="{734224F9-045F-4D14-B87D-0298FCC9EC2D}"/>
    <cellStyle name="þ_x001d_ð&quot;_x000c_Býò_x000c_5ýU_x0001_e_x0005_¹,_x0007__x0001__x0001_ 20" xfId="2759" xr:uid="{1F4118E0-5BB1-4785-9DAF-1B9E24043BED}"/>
    <cellStyle name="þ_x001d_ð&quot;_x000c_Býò_x000c_5ýU_x0001_e_x0005_¹,_x0007__x0001__x0001_ 21" xfId="2760" xr:uid="{9BDC7F34-E590-4A3F-91AA-F12099870B97}"/>
    <cellStyle name="þ_x001d_ð&quot;_x000c_Býò_x000c_5ýU_x0001_e_x0005_¹,_x0007__x0001__x0001_ 22" xfId="2761" xr:uid="{E93BCE71-BAF9-46C7-AE34-5D7560676BD6}"/>
    <cellStyle name="þ_x001d_ð&quot;_x000c_Býò_x000c_5ýU_x0001_e_x0005_¹,_x0007__x0001__x0001_ 23" xfId="2762" xr:uid="{D39630CB-118D-4670-B296-66478D01152E}"/>
    <cellStyle name="þ_x001d_ð&quot;_x000c_Býò_x000c_5ýU_x0001_e_x0005_¹,_x0007__x0001__x0001_ 24" xfId="2763" xr:uid="{3D69E904-40FD-4803-ADB2-E7277AA948F4}"/>
    <cellStyle name="þ_x001d_ð&quot;_x000c_Býò_x000c_5ýU_x0001_e_x0005_¹,_x0007__x0001__x0001_ 25" xfId="2764" xr:uid="{F84108C0-ECF6-4DAD-BD9E-FFA11E0CAC13}"/>
    <cellStyle name="þ_x001d_ð&quot;_x000c_Býò_x000c_5ýU_x0001_e_x0005_¹,_x0007__x0001__x0001_ 26" xfId="2765" xr:uid="{26C869F8-9844-465E-A6D1-E248403CA398}"/>
    <cellStyle name="þ_x001d_ð&quot;_x000c_Býò_x000c_5ýU_x0001_e_x0005_¹,_x0007__x0001__x0001_ 27" xfId="2766" xr:uid="{9FB2A4DA-B872-4A69-AEBC-4FA8F04284F3}"/>
    <cellStyle name="þ_x001d_ð&quot;_x000c_Býò_x000c_5ýU_x0001_e_x0005_¹,_x0007__x0001__x0001_ 28" xfId="2767" xr:uid="{A63C0F97-E143-46BC-903B-C27871E3644B}"/>
    <cellStyle name="þ_x001d_ð&quot;_x000c_Býò_x000c_5ýU_x0001_e_x0005_¹,_x0007__x0001__x0001_ 29" xfId="2768" xr:uid="{671B1E1C-04DF-47A3-A210-99B19A6B2CE9}"/>
    <cellStyle name="þ_x001d_ð&quot;_x000c_Býò_x000c_5ýU_x0001_e_x0005_¹,_x0007__x0001__x0001_ 3" xfId="2769" xr:uid="{8DC4516E-268B-412D-B4FF-436E40D71502}"/>
    <cellStyle name="þ_x001d_ð&quot;_x000c_Býò_x000c_5ýU_x0001_e_x0005_¹,_x0007__x0001__x0001_ 30" xfId="2770" xr:uid="{F9E1A608-173B-41BF-AFD9-13B581DFA44B}"/>
    <cellStyle name="þ_x001d_ð&quot;_x000c_Býò_x000c_5ýU_x0001_e_x0005_¹,_x0007__x0001__x0001_ 31" xfId="2771" xr:uid="{014CCFC1-3915-46E9-AE95-2F4F955E856B}"/>
    <cellStyle name="þ_x001d_ð&quot;_x000c_Býò_x000c_5ýU_x0001_e_x0005_¹,_x0007__x0001__x0001_ 32" xfId="2772" xr:uid="{E0E7BE45-9855-464F-B5A0-22C9EC186D45}"/>
    <cellStyle name="þ_x001d_ð&quot;_x000c_Býò_x000c_5ýU_x0001_e_x0005_¹,_x0007__x0001__x0001_ 4" xfId="2773" xr:uid="{388654D3-580B-49CB-9000-42BCB50A971C}"/>
    <cellStyle name="þ_x001d_ð&quot;_x000c_Býò_x000c_5ýU_x0001_e_x0005_¹,_x0007__x0001__x0001_ 4 2" xfId="2774" xr:uid="{FE643EE7-C88B-4E21-BCA3-E7E25B70033F}"/>
    <cellStyle name="þ_x001d_ð&quot;_x000c_Býò_x000c_5ýU_x0001_e_x0005_¹,_x0007__x0001__x0001_ 5" xfId="2775" xr:uid="{5F513504-5B06-48B0-910C-9A5133E086F7}"/>
    <cellStyle name="þ_x001d_ð&quot;_x000c_Býò_x000c_5ýU_x0001_e_x0005_¹,_x0007__x0001__x0001_ 6" xfId="2776" xr:uid="{1AAE070E-F1EF-4976-A090-06966B155C45}"/>
    <cellStyle name="þ_x001d_ð&quot;_x000c_Býò_x000c_5ýU_x0001_e_x0005_¹,_x0007__x0001__x0001_ 7" xfId="2777" xr:uid="{2DB2568B-73C2-4ADF-AC7D-4D7358E94910}"/>
    <cellStyle name="þ_x001d_ð&quot;_x000c_Býò_x000c_5ýU_x0001_e_x0005_¹,_x0007__x0001__x0001_ 8" xfId="2778" xr:uid="{6697AE5F-5D27-4531-AEF4-6B3DB4A049E2}"/>
    <cellStyle name="þ_x001d_ð&quot;_x000c_Býò_x000c_5ýU_x0001_e_x0005_¹,_x0007__x0001__x0001_ 9" xfId="2779" xr:uid="{F2072656-EB37-492D-9F4E-A166F84219DE}"/>
    <cellStyle name="Title 2" xfId="2780" xr:uid="{2385553D-7112-46C9-8772-725F72222F7E}"/>
    <cellStyle name="Title 2 2" xfId="2781" xr:uid="{54A98BED-8514-417E-A1D1-2DF542EA1828}"/>
    <cellStyle name="Title 3" xfId="2782" xr:uid="{D094A8CD-9ACC-4712-A6FB-096FD65B2A3E}"/>
    <cellStyle name="Title 4" xfId="2783" xr:uid="{3F2434F4-FE1B-4BC5-9BC2-0D8F4AEC9E0E}"/>
    <cellStyle name="Title 5" xfId="2784" xr:uid="{54925171-5B01-4991-A18D-BB4084AD4EC8}"/>
    <cellStyle name="Total 2" xfId="2785" xr:uid="{0F921315-BFB3-40FD-AB1B-8D610145B0F1}"/>
    <cellStyle name="Total 2 2" xfId="2786" xr:uid="{20C4AB4A-ECEB-4FDE-BDE2-E6745F4C475A}"/>
    <cellStyle name="Total 2 3" xfId="2787" xr:uid="{744C913E-DD8F-42CD-B26D-66518464EAF5}"/>
    <cellStyle name="Total 2 4" xfId="2788" xr:uid="{45609249-07A8-4A18-86D4-4474AEE51DEC}"/>
    <cellStyle name="Total 3" xfId="2789" xr:uid="{77244702-49A1-4658-A1D7-E61CEF1497CA}"/>
    <cellStyle name="Total 4" xfId="2790" xr:uid="{3EDF0728-388D-4609-BAC0-8F79C4F7CEA6}"/>
    <cellStyle name="Total 5" xfId="2791" xr:uid="{94791AB5-207E-4D0B-87FF-1703B22ACF97}"/>
    <cellStyle name="Unp $,(2)" xfId="2792" xr:uid="{B95B8B80-4253-47ED-ADCD-650F307364E7}"/>
    <cellStyle name="Unp Comma [0]" xfId="2793" xr:uid="{0E72D48F-BF3F-434B-B141-6BD1275DC5FB}"/>
    <cellStyle name="Unp comment" xfId="2794" xr:uid="{F6096243-C703-4290-9A9D-96B96A343946}"/>
    <cellStyle name="Unp Fixed (1)" xfId="2795" xr:uid="{954B28AE-7E8C-45B0-9851-3DE5B9D3C563}"/>
    <cellStyle name="Unp Fixed (2)" xfId="2796" xr:uid="{3D0E24A7-DB37-44D8-ACB7-2F1CFEF1DA4A}"/>
    <cellStyle name="Unprotected" xfId="2797" xr:uid="{DC014BCC-29A7-4163-9CB8-E11D741B4135}"/>
    <cellStyle name="Warning Text 2" xfId="2798" xr:uid="{4915F622-A05C-4C27-BEB1-5E2A98A14B13}"/>
    <cellStyle name="Warning Text 2 2" xfId="2799" xr:uid="{A39CF484-4C1A-4AA9-9EC5-3022F77CB714}"/>
    <cellStyle name="Warning Text 2 3" xfId="2800" xr:uid="{4B4FB9ED-843B-4C19-B3E4-C83DF66BC2D0}"/>
    <cellStyle name="Warning Text 2 4" xfId="2801" xr:uid="{12A556CC-6422-4639-A6A0-53D56A31E02C}"/>
    <cellStyle name="Warning Text 2 5" xfId="2802" xr:uid="{AD6C3B49-AEBC-4378-A1A8-6B9C6CA70D49}"/>
    <cellStyle name="Warning Text 3" xfId="2803" xr:uid="{F99E3EBF-3124-4AAD-AA14-B7C626C85AB1}"/>
    <cellStyle name="Warning Text 4" xfId="2804" xr:uid="{6D8FADCF-3FCC-420E-A036-AD6745295717}"/>
    <cellStyle name="Warning Text 5" xfId="2805" xr:uid="{125A93DC-1BEA-49D6-8E36-C60B6B6D365B}"/>
    <cellStyle name="प्रतिशत" xfId="2046" builtinId="5"/>
  </cellStyles>
  <dxfs count="0"/>
  <tableStyles count="1" defaultTableStyle="TableStyleMedium9" defaultPivotStyle="PivotStyleLight16">
    <tableStyle name="Invisible" pivot="0" table="0" count="0" xr9:uid="{FF90DF2F-1918-4C6D-851F-E62D426CD8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1171575</xdr:colOff>
      <xdr:row>6</xdr:row>
      <xdr:rowOff>95250</xdr:rowOff>
    </xdr:to>
    <xdr:pic>
      <xdr:nvPicPr>
        <xdr:cNvPr id="1280" name="Picture 1">
          <a:extLst>
            <a:ext uri="{FF2B5EF4-FFF2-40B4-BE49-F238E27FC236}">
              <a16:creationId xmlns:a16="http://schemas.microsoft.com/office/drawing/2014/main" id="{F5850311-8F60-52FC-1A4B-32D709406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117157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600075</xdr:colOff>
      <xdr:row>5</xdr:row>
      <xdr:rowOff>95250</xdr:rowOff>
    </xdr:to>
    <xdr:pic>
      <xdr:nvPicPr>
        <xdr:cNvPr id="18455" name="Picture 1">
          <a:extLst>
            <a:ext uri="{FF2B5EF4-FFF2-40B4-BE49-F238E27FC236}">
              <a16:creationId xmlns:a16="http://schemas.microsoft.com/office/drawing/2014/main" id="{0BEF1E76-1467-7108-4799-B8123E229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9562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600075</xdr:colOff>
      <xdr:row>5</xdr:row>
      <xdr:rowOff>95250</xdr:rowOff>
    </xdr:to>
    <xdr:pic>
      <xdr:nvPicPr>
        <xdr:cNvPr id="17436" name="Picture 1">
          <a:extLst>
            <a:ext uri="{FF2B5EF4-FFF2-40B4-BE49-F238E27FC236}">
              <a16:creationId xmlns:a16="http://schemas.microsoft.com/office/drawing/2014/main" id="{F9067357-B22B-68C6-77F6-0AFBFA36C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309562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0</xdr:col>
      <xdr:colOff>1209675</xdr:colOff>
      <xdr:row>5</xdr:row>
      <xdr:rowOff>28575</xdr:rowOff>
    </xdr:to>
    <xdr:pic>
      <xdr:nvPicPr>
        <xdr:cNvPr id="16425" name="Picture 1">
          <a:extLst>
            <a:ext uri="{FF2B5EF4-FFF2-40B4-BE49-F238E27FC236}">
              <a16:creationId xmlns:a16="http://schemas.microsoft.com/office/drawing/2014/main" id="{6757D897-84AC-BCDE-B822-7F0C4D3A3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0967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0</xdr:col>
      <xdr:colOff>1209675</xdr:colOff>
      <xdr:row>5</xdr:row>
      <xdr:rowOff>28575</xdr:rowOff>
    </xdr:to>
    <xdr:pic>
      <xdr:nvPicPr>
        <xdr:cNvPr id="14470" name="Picture 1">
          <a:extLst>
            <a:ext uri="{FF2B5EF4-FFF2-40B4-BE49-F238E27FC236}">
              <a16:creationId xmlns:a16="http://schemas.microsoft.com/office/drawing/2014/main" id="{7DD17EA5-9D6F-FC72-E417-72C57E467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0967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0</xdr:col>
      <xdr:colOff>1209675</xdr:colOff>
      <xdr:row>5</xdr:row>
      <xdr:rowOff>28575</xdr:rowOff>
    </xdr:to>
    <xdr:pic>
      <xdr:nvPicPr>
        <xdr:cNvPr id="13454" name="Picture 1">
          <a:extLst>
            <a:ext uri="{FF2B5EF4-FFF2-40B4-BE49-F238E27FC236}">
              <a16:creationId xmlns:a16="http://schemas.microsoft.com/office/drawing/2014/main" id="{81D05976-8A99-DD4E-3032-8BE1A6B0E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120967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1019175</xdr:colOff>
      <xdr:row>5</xdr:row>
      <xdr:rowOff>114300</xdr:rowOff>
    </xdr:to>
    <xdr:pic>
      <xdr:nvPicPr>
        <xdr:cNvPr id="12442" name="Picture 1">
          <a:extLst>
            <a:ext uri="{FF2B5EF4-FFF2-40B4-BE49-F238E27FC236}">
              <a16:creationId xmlns:a16="http://schemas.microsoft.com/office/drawing/2014/main" id="{564B99FF-5DAA-5340-F189-082FA8C22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1917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1019175</xdr:colOff>
      <xdr:row>5</xdr:row>
      <xdr:rowOff>114300</xdr:rowOff>
    </xdr:to>
    <xdr:pic>
      <xdr:nvPicPr>
        <xdr:cNvPr id="11427" name="Picture 1">
          <a:extLst>
            <a:ext uri="{FF2B5EF4-FFF2-40B4-BE49-F238E27FC236}">
              <a16:creationId xmlns:a16="http://schemas.microsoft.com/office/drawing/2014/main" id="{E6193137-9382-E166-679A-F05816808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1917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0</xdr:col>
      <xdr:colOff>1019175</xdr:colOff>
      <xdr:row>6</xdr:row>
      <xdr:rowOff>161925</xdr:rowOff>
    </xdr:to>
    <xdr:pic>
      <xdr:nvPicPr>
        <xdr:cNvPr id="10433" name="Picture 1">
          <a:extLst>
            <a:ext uri="{FF2B5EF4-FFF2-40B4-BE49-F238E27FC236}">
              <a16:creationId xmlns:a16="http://schemas.microsoft.com/office/drawing/2014/main" id="{96513572-E00F-D58A-CCDC-68C9C3AA7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"/>
          <a:ext cx="101917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1019175</xdr:colOff>
      <xdr:row>5</xdr:row>
      <xdr:rowOff>114300</xdr:rowOff>
    </xdr:to>
    <xdr:pic>
      <xdr:nvPicPr>
        <xdr:cNvPr id="6371" name="Picture 1">
          <a:extLst>
            <a:ext uri="{FF2B5EF4-FFF2-40B4-BE49-F238E27FC236}">
              <a16:creationId xmlns:a16="http://schemas.microsoft.com/office/drawing/2014/main" id="{B2EA6AB0-FB60-FA78-CCCC-3C41B2536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1917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1076325</xdr:colOff>
      <xdr:row>4</xdr:row>
      <xdr:rowOff>114300</xdr:rowOff>
    </xdr:to>
    <xdr:pic>
      <xdr:nvPicPr>
        <xdr:cNvPr id="7383" name="Picture 1">
          <a:extLst>
            <a:ext uri="{FF2B5EF4-FFF2-40B4-BE49-F238E27FC236}">
              <a16:creationId xmlns:a16="http://schemas.microsoft.com/office/drawing/2014/main" id="{4501CF2E-2879-3FC6-401E-215ADB284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7632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1076325</xdr:colOff>
      <xdr:row>4</xdr:row>
      <xdr:rowOff>114300</xdr:rowOff>
    </xdr:to>
    <xdr:pic>
      <xdr:nvPicPr>
        <xdr:cNvPr id="3327" name="Picture 1">
          <a:extLst>
            <a:ext uri="{FF2B5EF4-FFF2-40B4-BE49-F238E27FC236}">
              <a16:creationId xmlns:a16="http://schemas.microsoft.com/office/drawing/2014/main" id="{84F0F479-F4BF-67FA-089C-896FE1393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7632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C35D-006C-4383-B534-3E5EEFE71E54}">
  <sheetPr>
    <pageSetUpPr fitToPage="1"/>
  </sheetPr>
  <dimension ref="A2:AE67"/>
  <sheetViews>
    <sheetView tabSelected="1" zoomScaleNormal="100" workbookViewId="0">
      <pane xSplit="1" ySplit="10" topLeftCell="B46" activePane="bottomRight" state="frozen"/>
      <selection pane="topRight" activeCell="B1" sqref="B1"/>
      <selection pane="bottomLeft" activeCell="A8" sqref="A8"/>
      <selection pane="bottomRight" activeCell="X62" sqref="X62"/>
    </sheetView>
  </sheetViews>
  <sheetFormatPr defaultRowHeight="14.25"/>
  <cols>
    <col min="1" max="1" width="44.42578125" style="11" customWidth="1"/>
    <col min="2" max="4" width="7.7109375" style="2" customWidth="1"/>
    <col min="5" max="5" width="7.7109375" style="121" customWidth="1"/>
    <col min="6" max="19" width="7.7109375" style="2" customWidth="1"/>
    <col min="20" max="20" width="8.42578125" style="2" customWidth="1"/>
    <col min="21" max="21" width="8.85546875" style="2" customWidth="1"/>
    <col min="22" max="22" width="8.140625" style="2" customWidth="1"/>
    <col min="23" max="23" width="9.28515625" style="2" customWidth="1"/>
    <col min="24" max="24" width="8.140625" style="2" customWidth="1"/>
    <col min="25" max="25" width="10.140625" style="2" customWidth="1"/>
    <col min="26" max="27" width="7.85546875" style="2" bestFit="1" customWidth="1"/>
    <col min="28" max="28" width="11.85546875" style="2" bestFit="1" customWidth="1"/>
    <col min="29" max="29" width="11.85546875" style="2" customWidth="1"/>
    <col min="30" max="30" width="20.42578125" style="2" hidden="1" customWidth="1"/>
    <col min="31" max="31" width="10.7109375" style="2" bestFit="1" customWidth="1"/>
    <col min="32" max="16384" width="9.140625" style="2"/>
  </cols>
  <sheetData>
    <row r="2" spans="1:31" s="100" customFormat="1" ht="29.25" customHeight="1">
      <c r="A2" s="225"/>
      <c r="B2" s="225"/>
      <c r="C2" s="235" t="s">
        <v>0</v>
      </c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</row>
    <row r="3" spans="1:31" s="100" customFormat="1" ht="15">
      <c r="A3" s="225"/>
      <c r="B3" s="225"/>
      <c r="E3" s="120"/>
    </row>
    <row r="4" spans="1:31" s="100" customFormat="1" ht="15">
      <c r="A4" s="225"/>
      <c r="B4" s="225"/>
      <c r="E4" s="120"/>
    </row>
    <row r="5" spans="1:31" s="100" customFormat="1" ht="15">
      <c r="A5" s="225"/>
      <c r="B5" s="225"/>
      <c r="E5" s="120"/>
    </row>
    <row r="6" spans="1:31" s="100" customFormat="1" ht="15">
      <c r="A6" s="225"/>
      <c r="B6" s="225"/>
      <c r="E6" s="120"/>
    </row>
    <row r="7" spans="1:31">
      <c r="A7" s="3"/>
      <c r="D7" s="4"/>
    </row>
    <row r="8" spans="1:31">
      <c r="A8" s="158" t="s">
        <v>1</v>
      </c>
      <c r="B8" s="234" t="s">
        <v>2</v>
      </c>
      <c r="C8" s="234"/>
      <c r="D8" s="234"/>
      <c r="E8" s="234"/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4"/>
      <c r="U8" s="234"/>
      <c r="V8" s="234"/>
      <c r="W8" s="234"/>
      <c r="X8" s="234"/>
      <c r="Y8" s="234"/>
      <c r="Z8" s="234"/>
      <c r="AA8" s="234"/>
      <c r="AB8" s="234"/>
      <c r="AC8" s="234"/>
      <c r="AD8" s="234"/>
    </row>
    <row r="9" spans="1:31" ht="18" customHeight="1">
      <c r="A9" s="232" t="s">
        <v>3</v>
      </c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33"/>
      <c r="AC9" s="233"/>
      <c r="AD9" s="233"/>
    </row>
    <row r="10" spans="1:31" s="5" customFormat="1" ht="18" customHeight="1">
      <c r="A10" s="192" t="s">
        <v>51</v>
      </c>
      <c r="B10" s="193" t="s">
        <v>4</v>
      </c>
      <c r="C10" s="193" t="s">
        <v>5</v>
      </c>
      <c r="D10" s="193" t="s">
        <v>6</v>
      </c>
      <c r="E10" s="193" t="s">
        <v>7</v>
      </c>
      <c r="F10" s="193" t="s">
        <v>8</v>
      </c>
      <c r="G10" s="193" t="s">
        <v>9</v>
      </c>
      <c r="H10" s="193" t="s">
        <v>10</v>
      </c>
      <c r="I10" s="193" t="s">
        <v>11</v>
      </c>
      <c r="J10" s="193" t="s">
        <v>12</v>
      </c>
      <c r="K10" s="193" t="s">
        <v>13</v>
      </c>
      <c r="L10" s="193" t="s">
        <v>14</v>
      </c>
      <c r="M10" s="194" t="s">
        <v>15</v>
      </c>
      <c r="N10" s="194" t="s">
        <v>16</v>
      </c>
      <c r="O10" s="194" t="s">
        <v>86</v>
      </c>
      <c r="P10" s="194" t="s">
        <v>88</v>
      </c>
      <c r="Q10" s="194" t="s">
        <v>89</v>
      </c>
      <c r="R10" s="194" t="s">
        <v>93</v>
      </c>
      <c r="S10" s="194" t="s">
        <v>96</v>
      </c>
      <c r="T10" s="194" t="s">
        <v>97</v>
      </c>
      <c r="U10" s="194" t="s">
        <v>109</v>
      </c>
      <c r="V10" s="194" t="s">
        <v>116</v>
      </c>
      <c r="W10" s="194" t="s">
        <v>118</v>
      </c>
      <c r="X10" s="194" t="s">
        <v>122</v>
      </c>
      <c r="Y10" s="194" t="s">
        <v>125</v>
      </c>
      <c r="Z10" s="194" t="s">
        <v>132</v>
      </c>
      <c r="AA10" s="194" t="s">
        <v>133</v>
      </c>
      <c r="AB10" s="194" t="s">
        <v>137</v>
      </c>
      <c r="AC10" s="194" t="s">
        <v>136</v>
      </c>
      <c r="AD10" s="194" t="s">
        <v>138</v>
      </c>
    </row>
    <row r="11" spans="1:31" s="7" customFormat="1" ht="15" customHeight="1">
      <c r="A11" s="236" t="s">
        <v>106</v>
      </c>
      <c r="B11" s="237"/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  <c r="AA11" s="199"/>
    </row>
    <row r="12" spans="1:31" s="7" customFormat="1" ht="15">
      <c r="A12" s="128" t="s">
        <v>18</v>
      </c>
      <c r="B12" s="132">
        <v>10935</v>
      </c>
      <c r="C12" s="132">
        <v>11109</v>
      </c>
      <c r="D12" s="132">
        <v>12003</v>
      </c>
      <c r="E12" s="132">
        <v>11695.788</v>
      </c>
      <c r="F12" s="132">
        <v>12431.903999999999</v>
      </c>
      <c r="G12" s="132">
        <v>12758</v>
      </c>
      <c r="H12" s="132">
        <v>11697.84</v>
      </c>
      <c r="I12" s="132">
        <v>11540.314</v>
      </c>
      <c r="J12" s="132">
        <v>12953</v>
      </c>
      <c r="K12" s="132">
        <v>13714.148999999999</v>
      </c>
      <c r="L12" s="132">
        <v>13852.052</v>
      </c>
      <c r="M12" s="132">
        <v>13205.532999999999</v>
      </c>
      <c r="N12" s="132">
        <v>13561.066000000001</v>
      </c>
      <c r="O12" s="132">
        <v>14253.08</v>
      </c>
      <c r="P12" s="132">
        <v>13154.947999999999</v>
      </c>
      <c r="Q12" s="132">
        <v>12960.077000000001</v>
      </c>
      <c r="R12" s="132">
        <v>13285.435999999998</v>
      </c>
      <c r="S12" s="132">
        <v>13819.914000000002</v>
      </c>
      <c r="T12" s="132">
        <v>13994.392</v>
      </c>
      <c r="U12" s="132">
        <v>13811.317999999999</v>
      </c>
      <c r="V12" s="132">
        <v>13504.918</v>
      </c>
      <c r="W12" s="132">
        <f>+'Monthwise 2019-20'!N12</f>
        <v>13074.744000000001</v>
      </c>
      <c r="X12" s="132">
        <f>+'Monthwise 2020-21'!N12</f>
        <v>11603.051000000001</v>
      </c>
      <c r="Y12" s="132">
        <v>13474.106</v>
      </c>
      <c r="Z12" s="132">
        <v>15566.898999999998</v>
      </c>
      <c r="AA12" s="132">
        <v>15202.188</v>
      </c>
      <c r="AB12" s="132">
        <v>15283.045999999997</v>
      </c>
      <c r="AC12" s="132">
        <v>13202.134000000004</v>
      </c>
      <c r="AD12" s="132">
        <v>4327.5139999999992</v>
      </c>
      <c r="AE12" s="211"/>
    </row>
    <row r="13" spans="1:31" s="7" customFormat="1" ht="15">
      <c r="A13" s="128" t="s">
        <v>19</v>
      </c>
      <c r="B13" s="132">
        <v>8909</v>
      </c>
      <c r="C13" s="132">
        <v>8125</v>
      </c>
      <c r="D13" s="132">
        <v>7133</v>
      </c>
      <c r="E13" s="132">
        <v>8030.8270000000002</v>
      </c>
      <c r="F13" s="132">
        <v>8206.5249999999996</v>
      </c>
      <c r="G13" s="132">
        <v>8249</v>
      </c>
      <c r="H13" s="132">
        <v>6387.0110000000004</v>
      </c>
      <c r="I13" s="132">
        <v>7937.5640000000003</v>
      </c>
      <c r="J13" s="132">
        <v>8883</v>
      </c>
      <c r="K13" s="132">
        <v>8033.2969999999996</v>
      </c>
      <c r="L13" s="132">
        <v>8600.9660000000003</v>
      </c>
      <c r="M13" s="132">
        <v>8107.3320000000003</v>
      </c>
      <c r="N13" s="132">
        <v>8879.9610000000011</v>
      </c>
      <c r="O13" s="132">
        <v>8202.1749999999993</v>
      </c>
      <c r="P13" s="132">
        <v>8560.8870000000024</v>
      </c>
      <c r="Q13" s="132">
        <v>6640.674</v>
      </c>
      <c r="R13" s="132">
        <v>8515.4319999999989</v>
      </c>
      <c r="S13" s="132">
        <v>8860.280999999999</v>
      </c>
      <c r="T13" s="132">
        <v>9229.9989999999998</v>
      </c>
      <c r="U13" s="132">
        <v>9240.2079999999987</v>
      </c>
      <c r="V13" s="132">
        <v>9736.5360000000019</v>
      </c>
      <c r="W13" s="132">
        <f>+'Monthwise 2019-20'!N14</f>
        <v>8948.0390000000007</v>
      </c>
      <c r="X13" s="132">
        <f>+'Monthwise 2020-21'!N14</f>
        <v>8925.7949999999983</v>
      </c>
      <c r="Y13" s="132">
        <v>9122.844000000001</v>
      </c>
      <c r="Z13" s="132">
        <v>9573.0120000000006</v>
      </c>
      <c r="AA13" s="132">
        <v>9190.5280000000002</v>
      </c>
      <c r="AB13" s="132">
        <v>8053.82</v>
      </c>
      <c r="AC13" s="132">
        <v>10049.509000000007</v>
      </c>
      <c r="AD13" s="132">
        <v>2189.0340000000006</v>
      </c>
      <c r="AE13" s="211"/>
    </row>
    <row r="14" spans="1:31" s="7" customFormat="1" ht="15">
      <c r="A14" s="128" t="s">
        <v>20</v>
      </c>
      <c r="B14" s="132">
        <v>2208</v>
      </c>
      <c r="C14" s="132">
        <v>4153</v>
      </c>
      <c r="D14" s="132">
        <v>5707</v>
      </c>
      <c r="E14" s="132">
        <v>5822.3</v>
      </c>
      <c r="F14" s="132">
        <v>6101.26</v>
      </c>
      <c r="G14" s="132">
        <v>6338</v>
      </c>
      <c r="H14" s="132">
        <v>6386.77</v>
      </c>
      <c r="I14" s="132">
        <v>6506.6779999999999</v>
      </c>
      <c r="J14" s="132">
        <v>9435</v>
      </c>
      <c r="K14" s="132">
        <v>12820.96</v>
      </c>
      <c r="L14" s="132">
        <v>13069.867</v>
      </c>
      <c r="M14" s="132">
        <v>13614.547</v>
      </c>
      <c r="N14" s="132">
        <v>13660.476000000001</v>
      </c>
      <c r="O14" s="132">
        <v>15495.88</v>
      </c>
      <c r="P14" s="132">
        <v>15126.03</v>
      </c>
      <c r="Q14" s="132">
        <v>15097.714000000002</v>
      </c>
      <c r="R14" s="132">
        <v>14191.002999999999</v>
      </c>
      <c r="S14" s="132">
        <v>15282.367999999997</v>
      </c>
      <c r="T14" s="132">
        <v>15638.035000000003</v>
      </c>
      <c r="U14" s="132">
        <v>15654.196</v>
      </c>
      <c r="V14" s="132">
        <v>15280.517000000002</v>
      </c>
      <c r="W14" s="132">
        <f>+'Monthwise 2019-20'!N15</f>
        <v>15038.095999999998</v>
      </c>
      <c r="X14" s="132">
        <f>+'Monthwise 2020-21'!N15</f>
        <v>13181.322999999999</v>
      </c>
      <c r="Y14" s="132">
        <v>14848.853999999999</v>
      </c>
      <c r="Z14" s="132">
        <v>13810.143</v>
      </c>
      <c r="AA14" s="132">
        <v>14304.737999999999</v>
      </c>
      <c r="AB14" s="132">
        <v>15398.267999999998</v>
      </c>
      <c r="AC14" s="132">
        <v>15932.198999999995</v>
      </c>
      <c r="AD14" s="132">
        <v>3916.3429999999985</v>
      </c>
      <c r="AE14" s="211"/>
    </row>
    <row r="15" spans="1:31" s="7" customFormat="1" ht="15">
      <c r="A15" s="128" t="s">
        <v>21</v>
      </c>
      <c r="B15" s="132">
        <v>4714</v>
      </c>
      <c r="C15" s="132">
        <v>4105</v>
      </c>
      <c r="D15" s="132">
        <v>3873</v>
      </c>
      <c r="E15" s="132">
        <v>4023.6590000000006</v>
      </c>
      <c r="F15" s="132">
        <v>4513.2680000000009</v>
      </c>
      <c r="G15" s="132">
        <v>4518</v>
      </c>
      <c r="H15" s="132">
        <v>5417.6130000000003</v>
      </c>
      <c r="I15" s="132">
        <v>5502.0450000000001</v>
      </c>
      <c r="J15" s="132">
        <v>5836</v>
      </c>
      <c r="K15" s="132">
        <v>5714.5450000000001</v>
      </c>
      <c r="L15" s="132">
        <v>6042.1239999999998</v>
      </c>
      <c r="M15" s="132">
        <v>5685.6719999999996</v>
      </c>
      <c r="N15" s="132">
        <v>6877.9630000000006</v>
      </c>
      <c r="O15" s="132">
        <v>8071.7530000000006</v>
      </c>
      <c r="P15" s="132">
        <v>7490.2470000000012</v>
      </c>
      <c r="Q15" s="132">
        <v>7952.1020000000008</v>
      </c>
      <c r="R15" s="132">
        <v>7650.241</v>
      </c>
      <c r="S15" s="132">
        <v>7776.4710000000005</v>
      </c>
      <c r="T15" s="132">
        <v>7689.2970000000005</v>
      </c>
      <c r="U15" s="132">
        <v>7655.4909999999982</v>
      </c>
      <c r="V15" s="132">
        <v>7964.8559999999998</v>
      </c>
      <c r="W15" s="132">
        <f>+'Monthwise 2019-20'!N13</f>
        <v>6463.2920000000022</v>
      </c>
      <c r="X15" s="132">
        <f>+'Monthwise 2020-21'!N13</f>
        <v>6758.5109999999995</v>
      </c>
      <c r="Y15" s="132">
        <v>7305.4589999999998</v>
      </c>
      <c r="Z15" s="132">
        <v>8506.4840000000022</v>
      </c>
      <c r="AA15" s="132">
        <v>8059.5900000000011</v>
      </c>
      <c r="AB15" s="132">
        <v>6934.4960000000001</v>
      </c>
      <c r="AC15" s="132">
        <v>8507.2240000000056</v>
      </c>
      <c r="AD15" s="132">
        <v>2209.6470000000004</v>
      </c>
      <c r="AE15" s="211"/>
    </row>
    <row r="16" spans="1:31" s="7" customFormat="1" ht="15">
      <c r="A16" s="128" t="s">
        <v>22</v>
      </c>
      <c r="B16" s="132">
        <v>2204</v>
      </c>
      <c r="C16" s="132">
        <v>3411</v>
      </c>
      <c r="D16" s="132">
        <v>3122</v>
      </c>
      <c r="E16" s="132">
        <v>2875.8040000000001</v>
      </c>
      <c r="F16" s="132">
        <v>2993.0571700000005</v>
      </c>
      <c r="G16" s="132">
        <v>4304</v>
      </c>
      <c r="H16" s="132">
        <v>5082.2219999999998</v>
      </c>
      <c r="I16" s="132">
        <v>5553.4859999999999</v>
      </c>
      <c r="J16" s="132">
        <v>5469</v>
      </c>
      <c r="K16" s="132">
        <v>5634.2929999999997</v>
      </c>
      <c r="L16" s="132">
        <v>5940.3019999999997</v>
      </c>
      <c r="M16" s="132">
        <v>6184.1819999999998</v>
      </c>
      <c r="N16" s="132">
        <v>6207.4280000000008</v>
      </c>
      <c r="O16" s="132">
        <v>5730.0159999999996</v>
      </c>
      <c r="P16" s="132">
        <v>6344.7270000000008</v>
      </c>
      <c r="Q16" s="132">
        <v>6478.0140000000001</v>
      </c>
      <c r="R16" s="132">
        <v>5943.9240000000009</v>
      </c>
      <c r="S16" s="132">
        <v>6544.7530000000006</v>
      </c>
      <c r="T16" s="132">
        <v>6526.0450000000001</v>
      </c>
      <c r="U16" s="132">
        <v>5818.6340000000009</v>
      </c>
      <c r="V16" s="132">
        <v>6661.1880000000001</v>
      </c>
      <c r="W16" s="132">
        <f>+'Monthwise 2019-20'!N11</f>
        <v>6515.5330000000004</v>
      </c>
      <c r="X16" s="132">
        <f>+'Monthwise 2020-21'!N11</f>
        <v>5469.2190000000001</v>
      </c>
      <c r="Y16" s="132">
        <v>5619.6630000000005</v>
      </c>
      <c r="Z16" s="132">
        <v>6785.387999999999</v>
      </c>
      <c r="AA16" s="132">
        <v>6617.6979999999994</v>
      </c>
      <c r="AB16" s="132">
        <v>6513.2579999999998</v>
      </c>
      <c r="AC16" s="132">
        <v>6380.1769999999988</v>
      </c>
      <c r="AD16" s="132">
        <v>1550.627</v>
      </c>
      <c r="AE16" s="211"/>
    </row>
    <row r="17" spans="1:31" s="7" customFormat="1" ht="15">
      <c r="A17" s="128" t="s">
        <v>24</v>
      </c>
      <c r="B17" s="132">
        <v>554</v>
      </c>
      <c r="C17" s="132">
        <v>603</v>
      </c>
      <c r="D17" s="132">
        <v>679</v>
      </c>
      <c r="E17" s="132">
        <v>652.66799999999989</v>
      </c>
      <c r="F17" s="132">
        <v>580.84100000000001</v>
      </c>
      <c r="G17" s="132">
        <v>602</v>
      </c>
      <c r="H17" s="132">
        <v>651.096</v>
      </c>
      <c r="I17" s="132">
        <v>614.88</v>
      </c>
      <c r="J17" s="132">
        <v>586</v>
      </c>
      <c r="K17" s="132">
        <v>563.505</v>
      </c>
      <c r="L17" s="132">
        <v>623.10500000000002</v>
      </c>
      <c r="M17" s="132">
        <v>600.46</v>
      </c>
      <c r="N17" s="132">
        <v>651.00600000000009</v>
      </c>
      <c r="O17" s="132">
        <v>622.12</v>
      </c>
      <c r="P17" s="132">
        <v>660.31500000000005</v>
      </c>
      <c r="Q17" s="132">
        <v>651.23200000000008</v>
      </c>
      <c r="R17" s="132">
        <v>591.28800000000012</v>
      </c>
      <c r="S17" s="132">
        <v>561.83300000000008</v>
      </c>
      <c r="T17" s="132">
        <v>533.447</v>
      </c>
      <c r="U17" s="132">
        <v>665.62300000000005</v>
      </c>
      <c r="V17" s="132">
        <v>675.524</v>
      </c>
      <c r="W17" s="132">
        <f>+'Monthwise 2019-20'!N17</f>
        <v>664.23299999999995</v>
      </c>
      <c r="X17" s="132">
        <f>+'Monthwise 2020-21'!N17</f>
        <v>605.11</v>
      </c>
      <c r="Y17" s="132">
        <v>707.82900000000006</v>
      </c>
      <c r="Z17" s="132">
        <v>712.9190000000001</v>
      </c>
      <c r="AA17" s="132">
        <v>710.20999999999992</v>
      </c>
      <c r="AB17" s="132">
        <v>774.11300000000006</v>
      </c>
      <c r="AC17" s="132">
        <v>712.64800000000014</v>
      </c>
      <c r="AD17" s="132">
        <v>184.93</v>
      </c>
      <c r="AE17" s="211"/>
    </row>
    <row r="18" spans="1:31" s="7" customFormat="1" ht="15">
      <c r="A18" s="128" t="s">
        <v>23</v>
      </c>
      <c r="B18" s="132">
        <v>836</v>
      </c>
      <c r="C18" s="132">
        <v>914</v>
      </c>
      <c r="D18" s="132">
        <v>708</v>
      </c>
      <c r="E18" s="132">
        <v>655.9</v>
      </c>
      <c r="F18" s="132">
        <v>458.42</v>
      </c>
      <c r="G18" s="132">
        <v>890</v>
      </c>
      <c r="H18" s="132">
        <v>1004.022</v>
      </c>
      <c r="I18" s="132">
        <v>863.91099999999994</v>
      </c>
      <c r="J18" s="132">
        <v>839</v>
      </c>
      <c r="K18" s="132">
        <v>919.96799999999996</v>
      </c>
      <c r="L18" s="132">
        <v>1075.6869999999999</v>
      </c>
      <c r="M18" s="132">
        <v>1077.605</v>
      </c>
      <c r="N18" s="132">
        <v>1117.68</v>
      </c>
      <c r="O18" s="132">
        <v>1058.4609999999998</v>
      </c>
      <c r="P18" s="132">
        <v>956.452</v>
      </c>
      <c r="Q18" s="132">
        <v>1019.0339999999999</v>
      </c>
      <c r="R18" s="132">
        <v>1005.7940000000001</v>
      </c>
      <c r="S18" s="132">
        <v>903.52300000000002</v>
      </c>
      <c r="T18" s="132">
        <v>863.58101000000011</v>
      </c>
      <c r="U18" s="132">
        <v>1023.684</v>
      </c>
      <c r="V18" s="132">
        <v>863.16899999999987</v>
      </c>
      <c r="W18" s="132">
        <f>+'Monthwise 2019-20'!N16</f>
        <v>892.40300000000002</v>
      </c>
      <c r="X18" s="132">
        <f>+'Monthwise 2020-21'!N16</f>
        <v>849.23800000000006</v>
      </c>
      <c r="Y18" s="132">
        <v>730.21500000000003</v>
      </c>
      <c r="Z18" s="132">
        <v>1079.6689999999999</v>
      </c>
      <c r="AA18" s="132">
        <v>1000.4869999999999</v>
      </c>
      <c r="AB18" s="132">
        <v>1178.1999999999998</v>
      </c>
      <c r="AC18" s="132">
        <v>1291.4109999999996</v>
      </c>
      <c r="AD18" s="132">
        <v>331.22700000000003</v>
      </c>
      <c r="AE18" s="211"/>
    </row>
    <row r="19" spans="1:31" s="7" customFormat="1" ht="15">
      <c r="A19" s="128" t="s">
        <v>25</v>
      </c>
      <c r="B19" s="168" t="s">
        <v>26</v>
      </c>
      <c r="C19" s="168" t="s">
        <v>26</v>
      </c>
      <c r="D19" s="132" t="s">
        <v>26</v>
      </c>
      <c r="E19" s="132" t="s">
        <v>26</v>
      </c>
      <c r="F19" s="132" t="s">
        <v>26</v>
      </c>
      <c r="G19" s="132" t="s">
        <v>26</v>
      </c>
      <c r="H19" s="132" t="s">
        <v>26</v>
      </c>
      <c r="I19" s="132" t="s">
        <v>26</v>
      </c>
      <c r="J19" s="132" t="s">
        <v>26</v>
      </c>
      <c r="K19" s="132" t="s">
        <v>26</v>
      </c>
      <c r="L19" s="132">
        <v>2163.1880000000001</v>
      </c>
      <c r="M19" s="132">
        <v>2220.3159999999998</v>
      </c>
      <c r="N19" s="132">
        <v>2008.2980000000002</v>
      </c>
      <c r="O19" s="132">
        <v>2187.7860000000001</v>
      </c>
      <c r="P19" s="132">
        <v>2356.1349999999998</v>
      </c>
      <c r="Q19" s="132">
        <v>2327.5139999999997</v>
      </c>
      <c r="R19" s="132">
        <v>2402.9490000000005</v>
      </c>
      <c r="S19" s="132">
        <v>2441.6639999999998</v>
      </c>
      <c r="T19" s="132">
        <v>2485.7909999999997</v>
      </c>
      <c r="U19" s="132">
        <v>2401.5859999999998</v>
      </c>
      <c r="V19" s="132">
        <v>2512.7730000000001</v>
      </c>
      <c r="W19" s="132">
        <f>+'Monthwise 2019-20'!N18</f>
        <v>2044.8239999999998</v>
      </c>
      <c r="X19" s="132">
        <f>+'Monthwise 2020-21'!N18</f>
        <v>2450.4609999999998</v>
      </c>
      <c r="Y19" s="132">
        <v>2638.5</v>
      </c>
      <c r="Z19" s="132">
        <v>2775.0430000000001</v>
      </c>
      <c r="AA19" s="132">
        <v>3008.8639999999996</v>
      </c>
      <c r="AB19" s="132">
        <v>2772.0820000000003</v>
      </c>
      <c r="AC19" s="132">
        <v>3029.3710000000019</v>
      </c>
      <c r="AD19" s="132">
        <v>779.97199999999998</v>
      </c>
      <c r="AE19" s="211"/>
    </row>
    <row r="20" spans="1:31" s="7" customFormat="1" ht="15">
      <c r="A20" s="128" t="s">
        <v>91</v>
      </c>
      <c r="B20" s="168" t="s">
        <v>26</v>
      </c>
      <c r="C20" s="168" t="s">
        <v>26</v>
      </c>
      <c r="D20" s="132" t="s">
        <v>26</v>
      </c>
      <c r="E20" s="132" t="s">
        <v>26</v>
      </c>
      <c r="F20" s="132" t="s">
        <v>26</v>
      </c>
      <c r="G20" s="132" t="s">
        <v>26</v>
      </c>
      <c r="H20" s="132" t="s">
        <v>26</v>
      </c>
      <c r="I20" s="132" t="s">
        <v>26</v>
      </c>
      <c r="J20" s="132" t="s">
        <v>26</v>
      </c>
      <c r="K20" s="132" t="s">
        <v>26</v>
      </c>
      <c r="L20" s="132" t="s">
        <v>26</v>
      </c>
      <c r="M20" s="132" t="s">
        <v>26</v>
      </c>
      <c r="N20" s="132" t="s">
        <v>26</v>
      </c>
      <c r="O20" s="132" t="s">
        <v>26</v>
      </c>
      <c r="P20" s="132" t="s">
        <v>26</v>
      </c>
      <c r="Q20" s="132" t="s">
        <v>26</v>
      </c>
      <c r="R20" s="132" t="s">
        <v>26</v>
      </c>
      <c r="S20" s="132">
        <v>1816.6732260161029</v>
      </c>
      <c r="T20" s="132">
        <v>8229.9309999999987</v>
      </c>
      <c r="U20" s="132">
        <v>12730.437000000002</v>
      </c>
      <c r="V20" s="132">
        <v>14616.385</v>
      </c>
      <c r="W20" s="132">
        <f>+'Monthwise 2019-20'!N19</f>
        <v>15778.197999999999</v>
      </c>
      <c r="X20" s="132">
        <f>+'Monthwise 2020-21'!N19</f>
        <v>12507.939</v>
      </c>
      <c r="Y20" s="132">
        <v>13217.397999999997</v>
      </c>
      <c r="Z20" s="132">
        <v>13598.532999999998</v>
      </c>
      <c r="AA20" s="132">
        <v>15213.431999999999</v>
      </c>
      <c r="AB20" s="132">
        <v>14657.086000000003</v>
      </c>
      <c r="AC20" s="132">
        <v>16345.754999999992</v>
      </c>
      <c r="AD20" s="132">
        <v>3675.3230000000008</v>
      </c>
      <c r="AE20" s="211"/>
    </row>
    <row r="21" spans="1:31" s="7" customFormat="1">
      <c r="A21" s="127" t="s">
        <v>27</v>
      </c>
      <c r="B21" s="126">
        <v>30360</v>
      </c>
      <c r="C21" s="126">
        <v>32420</v>
      </c>
      <c r="D21" s="126">
        <v>33225</v>
      </c>
      <c r="E21" s="126">
        <v>33756.945999999996</v>
      </c>
      <c r="F21" s="126">
        <v>35285.275170000001</v>
      </c>
      <c r="G21" s="126">
        <v>37659</v>
      </c>
      <c r="H21" s="126">
        <v>36626.574000000001</v>
      </c>
      <c r="I21" s="126">
        <v>38518.877999999997</v>
      </c>
      <c r="J21" s="126">
        <v>44001</v>
      </c>
      <c r="K21" s="126">
        <v>47400.716999999997</v>
      </c>
      <c r="L21" s="126">
        <v>51367.291000000005</v>
      </c>
      <c r="M21" s="126">
        <v>50695.646999999997</v>
      </c>
      <c r="N21" s="126">
        <v>52963.878000000012</v>
      </c>
      <c r="O21" s="126">
        <v>55621.271000000001</v>
      </c>
      <c r="P21" s="126">
        <v>54649.741000000002</v>
      </c>
      <c r="Q21" s="126">
        <v>53126.361000000012</v>
      </c>
      <c r="R21" s="126">
        <v>53586.066999999995</v>
      </c>
      <c r="S21" s="126">
        <v>58007.480226016094</v>
      </c>
      <c r="T21" s="126">
        <v>65190.51801</v>
      </c>
      <c r="U21" s="126">
        <v>69001.176999999996</v>
      </c>
      <c r="V21" s="126">
        <v>71815.865999999995</v>
      </c>
      <c r="W21" s="126">
        <f t="shared" ref="W21:AD21" si="0">SUM(W12:W20)</f>
        <v>69419.362000000008</v>
      </c>
      <c r="X21" s="126">
        <f t="shared" si="0"/>
        <v>62350.64699999999</v>
      </c>
      <c r="Y21" s="126">
        <f t="shared" si="0"/>
        <v>67664.868000000002</v>
      </c>
      <c r="Z21" s="126">
        <f t="shared" si="0"/>
        <v>72408.090000000011</v>
      </c>
      <c r="AA21" s="126">
        <f t="shared" si="0"/>
        <v>73307.735000000001</v>
      </c>
      <c r="AB21" s="126">
        <f t="shared" si="0"/>
        <v>71564.368999999992</v>
      </c>
      <c r="AC21" s="126">
        <f t="shared" si="0"/>
        <v>75450.428</v>
      </c>
      <c r="AD21" s="126">
        <f t="shared" si="0"/>
        <v>19164.617000000002</v>
      </c>
      <c r="AE21" s="211"/>
    </row>
    <row r="22" spans="1:31">
      <c r="A22" s="238"/>
      <c r="B22" s="239"/>
      <c r="C22" s="239"/>
      <c r="D22" s="239"/>
      <c r="E22" s="239"/>
      <c r="F22" s="239"/>
      <c r="G22" s="239"/>
      <c r="H22" s="239"/>
      <c r="I22" s="239"/>
      <c r="J22" s="239"/>
      <c r="K22" s="239"/>
      <c r="L22" s="239"/>
      <c r="M22" s="239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  <c r="AA22" s="197"/>
      <c r="AB22" s="197"/>
      <c r="AC22" s="215"/>
      <c r="AD22" s="162"/>
      <c r="AE22" s="212"/>
    </row>
    <row r="23" spans="1:31" ht="18" customHeight="1">
      <c r="A23" s="240" t="s">
        <v>28</v>
      </c>
      <c r="B23" s="241"/>
      <c r="C23" s="241"/>
      <c r="D23" s="241"/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241"/>
      <c r="Q23" s="241"/>
      <c r="R23" s="241"/>
      <c r="S23" s="241"/>
      <c r="T23" s="241"/>
      <c r="U23" s="241"/>
      <c r="V23" s="241"/>
      <c r="W23" s="241"/>
      <c r="X23" s="241"/>
      <c r="Y23" s="241"/>
      <c r="Z23" s="241"/>
      <c r="AA23" s="199"/>
      <c r="AB23" s="199"/>
      <c r="AC23" s="216"/>
      <c r="AD23" s="162"/>
      <c r="AE23" s="212"/>
    </row>
    <row r="24" spans="1:31" ht="15">
      <c r="A24" s="128" t="s">
        <v>29</v>
      </c>
      <c r="B24" s="132">
        <v>5205</v>
      </c>
      <c r="C24" s="132">
        <v>6003</v>
      </c>
      <c r="D24" s="132">
        <v>5575</v>
      </c>
      <c r="E24" s="132">
        <v>5631.5</v>
      </c>
      <c r="F24" s="132">
        <v>6078.8</v>
      </c>
      <c r="G24" s="132">
        <v>6108</v>
      </c>
      <c r="H24" s="132">
        <v>6118</v>
      </c>
      <c r="I24" s="132">
        <v>6248.6710000000003</v>
      </c>
      <c r="J24" s="132">
        <v>7420</v>
      </c>
      <c r="K24" s="132">
        <v>7352.8490000000002</v>
      </c>
      <c r="L24" s="132">
        <v>6651.6270000000004</v>
      </c>
      <c r="M24" s="132">
        <v>6965.1090000000004</v>
      </c>
      <c r="N24" s="132">
        <v>6554.4250999999995</v>
      </c>
      <c r="O24" s="132">
        <v>7506.4747549999993</v>
      </c>
      <c r="P24" s="132">
        <v>7748.0328179999997</v>
      </c>
      <c r="Q24" s="132">
        <v>7737.0749999999998</v>
      </c>
      <c r="R24" s="132">
        <v>7412.006934</v>
      </c>
      <c r="S24" s="132">
        <v>8015.1452209999998</v>
      </c>
      <c r="T24" s="132">
        <v>8510.3188990000017</v>
      </c>
      <c r="U24" s="132">
        <v>8641.1703859999998</v>
      </c>
      <c r="V24" s="132">
        <v>8670.9297430000006</v>
      </c>
      <c r="W24" s="132">
        <f>+'Monthwise 2019-20'!N40</f>
        <v>8065.1614560000007</v>
      </c>
      <c r="X24" s="132">
        <f>+'Monthwise 2020-21'!N40</f>
        <v>7374.2080800000012</v>
      </c>
      <c r="Y24" s="132">
        <v>5557.8519899999992</v>
      </c>
      <c r="Z24" s="132">
        <v>9804.3221379999995</v>
      </c>
      <c r="AA24" s="132">
        <v>9639.7967089999984</v>
      </c>
      <c r="AB24" s="202">
        <v>9957.797251</v>
      </c>
      <c r="AC24" s="132">
        <v>10006.691955999999</v>
      </c>
      <c r="AD24" s="132">
        <v>2549.8876300000002</v>
      </c>
      <c r="AE24" s="212"/>
    </row>
    <row r="25" spans="1:31" ht="15">
      <c r="A25" s="128" t="s">
        <v>30</v>
      </c>
      <c r="B25" s="132">
        <v>3862</v>
      </c>
      <c r="C25" s="132">
        <v>4555</v>
      </c>
      <c r="D25" s="132">
        <v>6406</v>
      </c>
      <c r="E25" s="132">
        <v>6706.5</v>
      </c>
      <c r="F25" s="132">
        <v>6851.73</v>
      </c>
      <c r="G25" s="132">
        <v>7592</v>
      </c>
      <c r="H25" s="132">
        <v>7822.2</v>
      </c>
      <c r="I25" s="132">
        <v>7569.125</v>
      </c>
      <c r="J25" s="132">
        <v>9232</v>
      </c>
      <c r="K25" s="132">
        <v>9410.7620000000006</v>
      </c>
      <c r="L25" s="132">
        <v>9157.5069999999996</v>
      </c>
      <c r="M25" s="132">
        <v>8830.134</v>
      </c>
      <c r="N25" s="132">
        <v>8164.9000319999996</v>
      </c>
      <c r="O25" s="132">
        <v>8699.4566529999993</v>
      </c>
      <c r="P25" s="132">
        <v>8011.1853369999999</v>
      </c>
      <c r="Q25" s="132">
        <v>7775.91</v>
      </c>
      <c r="R25" s="132">
        <v>8766.6379980000002</v>
      </c>
      <c r="S25" s="132">
        <v>9220.4433200000003</v>
      </c>
      <c r="T25" s="132">
        <v>9303.8725580000009</v>
      </c>
      <c r="U25" s="132">
        <v>9635.0106479999995</v>
      </c>
      <c r="V25" s="132">
        <v>9773.1385489999993</v>
      </c>
      <c r="W25" s="132">
        <f>+'Monthwise 2019-20'!N41</f>
        <v>9115.0492140000006</v>
      </c>
      <c r="X25" s="132">
        <f>+'Monthwise 2020-21'!N41</f>
        <v>9050.4724880000012</v>
      </c>
      <c r="Y25" s="132">
        <v>8409.8301059999994</v>
      </c>
      <c r="Z25" s="132">
        <v>9286.6363239999991</v>
      </c>
      <c r="AA25" s="132">
        <v>12688.753756</v>
      </c>
      <c r="AB25" s="202">
        <v>15309.831773000002</v>
      </c>
      <c r="AC25" s="132">
        <v>16036.499649000007</v>
      </c>
      <c r="AD25" s="132">
        <v>3973.6167400000008</v>
      </c>
      <c r="AE25" s="212"/>
    </row>
    <row r="26" spans="1:31">
      <c r="A26" s="127" t="s">
        <v>31</v>
      </c>
      <c r="B26" s="126">
        <f>+B24+B25</f>
        <v>9067</v>
      </c>
      <c r="C26" s="126">
        <f t="shared" ref="C26:AD26" si="1">+C24+C25</f>
        <v>10558</v>
      </c>
      <c r="D26" s="126">
        <f t="shared" si="1"/>
        <v>11981</v>
      </c>
      <c r="E26" s="126">
        <f t="shared" si="1"/>
        <v>12338</v>
      </c>
      <c r="F26" s="126">
        <f t="shared" si="1"/>
        <v>12930.529999999999</v>
      </c>
      <c r="G26" s="126">
        <f t="shared" si="1"/>
        <v>13700</v>
      </c>
      <c r="H26" s="126">
        <f t="shared" si="1"/>
        <v>13940.2</v>
      </c>
      <c r="I26" s="126">
        <f t="shared" si="1"/>
        <v>13817.796</v>
      </c>
      <c r="J26" s="126">
        <f t="shared" si="1"/>
        <v>16652</v>
      </c>
      <c r="K26" s="126">
        <f t="shared" si="1"/>
        <v>16763.611000000001</v>
      </c>
      <c r="L26" s="126">
        <f t="shared" si="1"/>
        <v>15809.134</v>
      </c>
      <c r="M26" s="126">
        <f t="shared" si="1"/>
        <v>15795.243</v>
      </c>
      <c r="N26" s="126">
        <f t="shared" si="1"/>
        <v>14719.325131999998</v>
      </c>
      <c r="O26" s="126">
        <f t="shared" si="1"/>
        <v>16205.931407999999</v>
      </c>
      <c r="P26" s="126">
        <f t="shared" si="1"/>
        <v>15759.218154999999</v>
      </c>
      <c r="Q26" s="126">
        <f t="shared" si="1"/>
        <v>15512.985000000001</v>
      </c>
      <c r="R26" s="126">
        <f t="shared" si="1"/>
        <v>16178.644931999999</v>
      </c>
      <c r="S26" s="126">
        <f t="shared" si="1"/>
        <v>17235.588541000001</v>
      </c>
      <c r="T26" s="126">
        <f t="shared" si="1"/>
        <v>17814.191457000001</v>
      </c>
      <c r="U26" s="126">
        <f t="shared" si="1"/>
        <v>18276.181034000001</v>
      </c>
      <c r="V26" s="126">
        <f t="shared" si="1"/>
        <v>18444.068292</v>
      </c>
      <c r="W26" s="126">
        <f t="shared" si="1"/>
        <v>17180.21067</v>
      </c>
      <c r="X26" s="126">
        <f t="shared" si="1"/>
        <v>16424.680568000003</v>
      </c>
      <c r="Y26" s="126">
        <f t="shared" si="1"/>
        <v>13967.682095999999</v>
      </c>
      <c r="Z26" s="126">
        <f t="shared" si="1"/>
        <v>19090.958461999999</v>
      </c>
      <c r="AA26" s="126">
        <f t="shared" si="1"/>
        <v>22328.550465</v>
      </c>
      <c r="AB26" s="126">
        <f t="shared" si="1"/>
        <v>25267.629024000002</v>
      </c>
      <c r="AC26" s="126">
        <f t="shared" si="1"/>
        <v>26043.191605000007</v>
      </c>
      <c r="AD26" s="126">
        <f t="shared" si="1"/>
        <v>6523.5043700000006</v>
      </c>
      <c r="AE26" s="212"/>
    </row>
    <row r="27" spans="1:31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69"/>
      <c r="Y27" s="169"/>
      <c r="Z27" s="169"/>
      <c r="AA27" s="169"/>
      <c r="AB27" s="204"/>
      <c r="AC27" s="217"/>
      <c r="AD27" s="217"/>
      <c r="AE27" s="212"/>
    </row>
    <row r="28" spans="1:31">
      <c r="A28" s="221" t="s">
        <v>32</v>
      </c>
      <c r="B28" s="222"/>
      <c r="C28" s="222"/>
      <c r="D28" s="222"/>
      <c r="E28" s="222"/>
      <c r="F28" s="222"/>
      <c r="G28" s="222"/>
      <c r="H28" s="222"/>
      <c r="I28" s="222"/>
      <c r="J28" s="222"/>
      <c r="K28" s="222"/>
      <c r="L28" s="222"/>
      <c r="M28" s="222"/>
      <c r="N28" s="222"/>
      <c r="O28" s="222"/>
      <c r="P28" s="222"/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199"/>
      <c r="AB28" s="205"/>
      <c r="AC28" s="216"/>
      <c r="AD28" s="162"/>
      <c r="AE28" s="212"/>
    </row>
    <row r="29" spans="1:31" ht="15">
      <c r="A29" s="128" t="s">
        <v>33</v>
      </c>
      <c r="B29" s="132">
        <v>8873</v>
      </c>
      <c r="C29" s="132">
        <v>8903</v>
      </c>
      <c r="D29" s="132">
        <v>8662</v>
      </c>
      <c r="E29" s="132">
        <v>8736.7999999999993</v>
      </c>
      <c r="F29" s="132">
        <v>8740.3050000000003</v>
      </c>
      <c r="G29" s="132">
        <v>8703</v>
      </c>
      <c r="H29" s="132">
        <v>9142.9279999999999</v>
      </c>
      <c r="I29" s="132">
        <v>10281.83</v>
      </c>
      <c r="J29" s="132">
        <v>12041</v>
      </c>
      <c r="K29" s="132">
        <v>12742.851000000001</v>
      </c>
      <c r="L29" s="132">
        <v>12220.945</v>
      </c>
      <c r="M29" s="132">
        <v>12501.173000000001</v>
      </c>
      <c r="N29" s="132">
        <v>12687.800999999999</v>
      </c>
      <c r="O29" s="132">
        <v>12983.799000000001</v>
      </c>
      <c r="P29" s="132">
        <v>12735.798000000003</v>
      </c>
      <c r="Q29" s="132">
        <v>12683.87</v>
      </c>
      <c r="R29" s="132">
        <v>12820.791502</v>
      </c>
      <c r="S29" s="132">
        <v>13371.259332999998</v>
      </c>
      <c r="T29" s="132">
        <v>13541.109620898753</v>
      </c>
      <c r="U29" s="132">
        <v>14054.056119714249</v>
      </c>
      <c r="V29" s="132">
        <v>14772.713930220423</v>
      </c>
      <c r="W29" s="132">
        <f>+'Monthwise 2019-20'!N28</f>
        <v>15016.676031355653</v>
      </c>
      <c r="X29" s="132">
        <f>+'Monthwise 2020-21'!N28</f>
        <v>12940.595062584029</v>
      </c>
      <c r="Y29" s="132">
        <v>14436.53833229</v>
      </c>
      <c r="Z29" s="132">
        <v>14546.071675514815</v>
      </c>
      <c r="AA29" s="132">
        <v>15051.663619674848</v>
      </c>
      <c r="AB29" s="202">
        <v>15529.0846783548</v>
      </c>
      <c r="AC29" s="132">
        <v>16042.344446999996</v>
      </c>
      <c r="AD29" s="132">
        <v>3821.471550410402</v>
      </c>
      <c r="AE29" s="212"/>
    </row>
    <row r="30" spans="1:31" ht="15">
      <c r="A30" s="128" t="s">
        <v>34</v>
      </c>
      <c r="B30" s="168" t="s">
        <v>26</v>
      </c>
      <c r="C30" s="168" t="s">
        <v>26</v>
      </c>
      <c r="D30" s="132" t="s">
        <v>26</v>
      </c>
      <c r="E30" s="132" t="s">
        <v>26</v>
      </c>
      <c r="F30" s="170"/>
      <c r="G30" s="170"/>
      <c r="H30" s="170"/>
      <c r="I30" s="170"/>
      <c r="J30" s="132">
        <v>7743</v>
      </c>
      <c r="K30" s="132">
        <v>8173.89</v>
      </c>
      <c r="L30" s="132">
        <v>7737.9830000000002</v>
      </c>
      <c r="M30" s="132">
        <v>7874.72</v>
      </c>
      <c r="N30" s="132">
        <v>8697.9699810000002</v>
      </c>
      <c r="O30" s="132">
        <v>9472.4303180000006</v>
      </c>
      <c r="P30" s="132">
        <v>10105.44865</v>
      </c>
      <c r="Q30" s="132">
        <v>10285.355</v>
      </c>
      <c r="R30" s="132">
        <v>10355.729488000001</v>
      </c>
      <c r="S30" s="132">
        <v>10711.548128</v>
      </c>
      <c r="T30" s="132">
        <v>11820.208088000003</v>
      </c>
      <c r="U30" s="132">
        <v>14094.597728493189</v>
      </c>
      <c r="V30" s="132">
        <v>16050.719473859337</v>
      </c>
      <c r="W30" s="132">
        <f>+'Monthwise 2019-20'!N29</f>
        <v>16515.431053641209</v>
      </c>
      <c r="X30" s="132">
        <f>+'Monthwise 2020-21'!N29</f>
        <v>13281.794047050684</v>
      </c>
      <c r="Y30" s="132">
        <v>15401.50874152544</v>
      </c>
      <c r="Z30" s="132">
        <v>16016.756088999997</v>
      </c>
      <c r="AA30" s="132">
        <v>17314.242931999997</v>
      </c>
      <c r="AB30" s="202">
        <v>17193.122163</v>
      </c>
      <c r="AC30" s="132">
        <v>17559.450203000008</v>
      </c>
      <c r="AD30" s="132">
        <v>4329.0025920000007</v>
      </c>
      <c r="AE30" s="212"/>
    </row>
    <row r="31" spans="1:31" ht="15">
      <c r="A31" s="101" t="s">
        <v>134</v>
      </c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32">
        <v>7840.6878839999999</v>
      </c>
      <c r="AA31" s="132">
        <v>7132.731315</v>
      </c>
      <c r="AB31" s="202">
        <v>7708.8550939999996</v>
      </c>
      <c r="AC31" s="132">
        <v>7391.0412789999982</v>
      </c>
      <c r="AD31" s="132">
        <v>2055.1705460000003</v>
      </c>
      <c r="AE31" s="212"/>
    </row>
    <row r="32" spans="1:31">
      <c r="A32" s="127" t="s">
        <v>35</v>
      </c>
      <c r="B32" s="172">
        <v>8873</v>
      </c>
      <c r="C32" s="126">
        <v>8903</v>
      </c>
      <c r="D32" s="126">
        <v>8662</v>
      </c>
      <c r="E32" s="126">
        <v>8736.7999999999993</v>
      </c>
      <c r="F32" s="126">
        <v>8740.3050000000003</v>
      </c>
      <c r="G32" s="126">
        <v>8703</v>
      </c>
      <c r="H32" s="126">
        <v>9142.9279999999999</v>
      </c>
      <c r="I32" s="126">
        <v>10281.83</v>
      </c>
      <c r="J32" s="126">
        <v>19784</v>
      </c>
      <c r="K32" s="126">
        <v>20916.741000000002</v>
      </c>
      <c r="L32" s="126">
        <v>19958.928</v>
      </c>
      <c r="M32" s="126">
        <v>20375.893</v>
      </c>
      <c r="N32" s="126">
        <v>21385.770981000001</v>
      </c>
      <c r="O32" s="126">
        <v>24503.860218000002</v>
      </c>
      <c r="P32" s="126">
        <v>28573.192296000001</v>
      </c>
      <c r="Q32" s="126">
        <v>28419.136999999999</v>
      </c>
      <c r="R32" s="126">
        <v>29385.091906000001</v>
      </c>
      <c r="S32" s="126">
        <v>30485.012467999994</v>
      </c>
      <c r="T32" s="126">
        <v>31721.299596898756</v>
      </c>
      <c r="U32" s="126">
        <v>34856.557548207435</v>
      </c>
      <c r="V32" s="126">
        <v>36539.314790079763</v>
      </c>
      <c r="W32" s="126">
        <f t="shared" ref="W32:AD32" si="2">SUM(W29:W31)</f>
        <v>31532.10708499686</v>
      </c>
      <c r="X32" s="126">
        <f t="shared" si="2"/>
        <v>26222.389109634714</v>
      </c>
      <c r="Y32" s="126">
        <f t="shared" si="2"/>
        <v>29838.04707381544</v>
      </c>
      <c r="Z32" s="126">
        <f t="shared" si="2"/>
        <v>38403.515648514811</v>
      </c>
      <c r="AA32" s="126">
        <f t="shared" si="2"/>
        <v>39498.637866674842</v>
      </c>
      <c r="AB32" s="203">
        <f t="shared" si="2"/>
        <v>40431.061935354803</v>
      </c>
      <c r="AC32" s="126">
        <f t="shared" si="2"/>
        <v>40992.835929000001</v>
      </c>
      <c r="AD32" s="126">
        <f t="shared" si="2"/>
        <v>10205.644688410404</v>
      </c>
      <c r="AE32" s="212"/>
    </row>
    <row r="33" spans="1:31">
      <c r="A33" s="238"/>
      <c r="B33" s="239"/>
      <c r="C33" s="239"/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  <c r="AA33" s="197"/>
      <c r="AB33" s="206"/>
      <c r="AC33" s="215"/>
      <c r="AD33" s="162"/>
      <c r="AE33" s="212"/>
    </row>
    <row r="34" spans="1:31" ht="28.5">
      <c r="A34" s="173" t="s">
        <v>112</v>
      </c>
      <c r="B34" s="168">
        <v>0</v>
      </c>
      <c r="C34" s="160">
        <v>205</v>
      </c>
      <c r="D34" s="160">
        <v>1451</v>
      </c>
      <c r="E34" s="160">
        <v>2307.1</v>
      </c>
      <c r="F34" s="160">
        <v>1878.6</v>
      </c>
      <c r="G34" s="160">
        <v>2200</v>
      </c>
      <c r="H34" s="160">
        <v>2041.7639999999999</v>
      </c>
      <c r="I34" s="160">
        <v>2132.364</v>
      </c>
      <c r="J34" s="160">
        <v>2496</v>
      </c>
      <c r="K34" s="160">
        <v>2568.4780000000001</v>
      </c>
      <c r="L34" s="160">
        <v>2251.4459999999999</v>
      </c>
      <c r="M34" s="160">
        <v>2619.08</v>
      </c>
      <c r="N34" s="160">
        <v>2250.40405762</v>
      </c>
      <c r="O34" s="160">
        <v>2824.9889999999996</v>
      </c>
      <c r="P34" s="160">
        <v>2478.020939</v>
      </c>
      <c r="Q34" s="160">
        <v>2612.9360000000001</v>
      </c>
      <c r="R34" s="160">
        <v>2776.6804649999999</v>
      </c>
      <c r="S34" s="160">
        <v>2520.2684559999998</v>
      </c>
      <c r="T34" s="160">
        <v>2683.1265399999997</v>
      </c>
      <c r="U34" s="160">
        <v>2809.4262202370564</v>
      </c>
      <c r="V34" s="160">
        <v>2900.3856029999997</v>
      </c>
      <c r="W34" s="160">
        <f>+'Monthwise 2019-20'!N31</f>
        <v>2383.3387883169999</v>
      </c>
      <c r="X34" s="160">
        <f>+'Monthwise 2020-21'!N31</f>
        <v>2707.3533599890002</v>
      </c>
      <c r="Y34" s="160">
        <v>2624.409248078</v>
      </c>
      <c r="Z34" s="160">
        <v>3091.364345473</v>
      </c>
      <c r="AA34" s="160">
        <v>2509.6750835670005</v>
      </c>
      <c r="AB34" s="207">
        <v>3065.5908095110003</v>
      </c>
      <c r="AC34" s="160">
        <v>3112.5686849799995</v>
      </c>
      <c r="AD34" s="160">
        <v>790.55533139100021</v>
      </c>
      <c r="AE34" s="212"/>
    </row>
    <row r="35" spans="1:31">
      <c r="A35" s="238"/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  <c r="AA35" s="197"/>
      <c r="AB35" s="206"/>
      <c r="AC35" s="215"/>
      <c r="AD35" s="162"/>
      <c r="AE35" s="212"/>
    </row>
    <row r="36" spans="1:31">
      <c r="A36" s="226" t="s">
        <v>36</v>
      </c>
      <c r="B36" s="227"/>
      <c r="C36" s="227"/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198"/>
      <c r="AB36" s="208"/>
      <c r="AC36" s="218"/>
      <c r="AD36" s="162"/>
      <c r="AE36" s="212"/>
    </row>
    <row r="37" spans="1:31" ht="15">
      <c r="A37" s="128" t="s">
        <v>37</v>
      </c>
      <c r="B37" s="132">
        <v>6101</v>
      </c>
      <c r="C37" s="132">
        <v>6376</v>
      </c>
      <c r="D37" s="132">
        <v>6046</v>
      </c>
      <c r="E37" s="132">
        <v>6122.4</v>
      </c>
      <c r="F37" s="132">
        <v>6175.6</v>
      </c>
      <c r="G37" s="132">
        <v>6091</v>
      </c>
      <c r="H37" s="132">
        <v>8180.9999999999991</v>
      </c>
      <c r="I37" s="132">
        <v>9680.1200000000008</v>
      </c>
      <c r="J37" s="132">
        <v>9784</v>
      </c>
      <c r="K37" s="132">
        <v>9801.6180000000004</v>
      </c>
      <c r="L37" s="132">
        <v>9706.7909999999993</v>
      </c>
      <c r="M37" s="132">
        <v>9571.1640000000007</v>
      </c>
      <c r="N37" s="132">
        <v>10353.725371981134</v>
      </c>
      <c r="O37" s="132">
        <v>9945.4055783498716</v>
      </c>
      <c r="P37" s="132">
        <v>9098.1945018357001</v>
      </c>
      <c r="Q37" s="132">
        <v>10068.0375</v>
      </c>
      <c r="R37" s="132">
        <v>10247.2807056</v>
      </c>
      <c r="S37" s="132">
        <v>9099.1507141806032</v>
      </c>
      <c r="T37" s="132">
        <v>9761.3696223999996</v>
      </c>
      <c r="U37" s="132">
        <v>10288.831685108951</v>
      </c>
      <c r="V37" s="132">
        <v>10271.333339042858</v>
      </c>
      <c r="W37" s="132">
        <f>+'Monthwise 2019-20'!N23</f>
        <v>10160.636824810001</v>
      </c>
      <c r="X37" s="132">
        <f>+'Monthwise 2020-21'!N23</f>
        <v>8242.89048</v>
      </c>
      <c r="Y37" s="132">
        <v>9040.4193379999997</v>
      </c>
      <c r="Z37" s="132">
        <v>11315.721772000001</v>
      </c>
      <c r="AA37" s="132">
        <v>11642.126165999998</v>
      </c>
      <c r="AB37" s="202">
        <v>10453.710478900002</v>
      </c>
      <c r="AC37" s="132">
        <v>11709.717803999998</v>
      </c>
      <c r="AD37" s="132">
        <v>2847.7579610000003</v>
      </c>
      <c r="AE37" s="212"/>
    </row>
    <row r="38" spans="1:31" ht="15">
      <c r="A38" s="128" t="s">
        <v>38</v>
      </c>
      <c r="B38" s="132">
        <v>644</v>
      </c>
      <c r="C38" s="132">
        <v>636</v>
      </c>
      <c r="D38" s="132">
        <v>579</v>
      </c>
      <c r="E38" s="132">
        <v>566</v>
      </c>
      <c r="F38" s="132">
        <v>643.20000000000005</v>
      </c>
      <c r="G38" s="132">
        <v>653</v>
      </c>
      <c r="H38" s="132">
        <v>743</v>
      </c>
      <c r="I38" s="132">
        <v>681.73800000000006</v>
      </c>
      <c r="J38" s="132">
        <v>617</v>
      </c>
      <c r="K38" s="132">
        <v>460.98599999999999</v>
      </c>
      <c r="L38" s="132">
        <v>418.14400000000001</v>
      </c>
      <c r="M38" s="132">
        <v>516.64499999999998</v>
      </c>
      <c r="N38" s="132">
        <v>705.81700000000001</v>
      </c>
      <c r="O38" s="132">
        <v>611.40599999999995</v>
      </c>
      <c r="P38" s="132">
        <v>639.68499999999995</v>
      </c>
      <c r="Q38" s="132">
        <v>558.952</v>
      </c>
      <c r="R38" s="132">
        <v>531.26900000000012</v>
      </c>
      <c r="S38" s="132">
        <v>543.55900000000008</v>
      </c>
      <c r="T38" s="132">
        <v>530.78800000000001</v>
      </c>
      <c r="U38" s="132">
        <v>500.17699999999996</v>
      </c>
      <c r="V38" s="132">
        <v>423.36700000000008</v>
      </c>
      <c r="W38" s="132">
        <f>+'Monthwise 2019-20'!N24</f>
        <v>0</v>
      </c>
      <c r="X38" s="132">
        <v>0</v>
      </c>
      <c r="Y38" s="132">
        <v>0</v>
      </c>
      <c r="Z38" s="132">
        <v>0</v>
      </c>
      <c r="AA38" s="132">
        <v>0</v>
      </c>
      <c r="AB38" s="202">
        <v>0</v>
      </c>
      <c r="AC38" s="132">
        <v>0</v>
      </c>
      <c r="AD38" s="132">
        <v>0</v>
      </c>
      <c r="AE38" s="212"/>
    </row>
    <row r="39" spans="1:31">
      <c r="A39" s="184" t="s">
        <v>39</v>
      </c>
      <c r="B39" s="126">
        <v>6745</v>
      </c>
      <c r="C39" s="126">
        <v>7012</v>
      </c>
      <c r="D39" s="126">
        <v>6625</v>
      </c>
      <c r="E39" s="126">
        <v>6688.4</v>
      </c>
      <c r="F39" s="126">
        <v>6818.8</v>
      </c>
      <c r="G39" s="126">
        <v>6744</v>
      </c>
      <c r="H39" s="126">
        <v>8924</v>
      </c>
      <c r="I39" s="126">
        <v>10361.858</v>
      </c>
      <c r="J39" s="126">
        <v>10401</v>
      </c>
      <c r="K39" s="126">
        <v>10262.604000000001</v>
      </c>
      <c r="L39" s="126">
        <v>10124.934999999999</v>
      </c>
      <c r="M39" s="126">
        <v>10087.809000000001</v>
      </c>
      <c r="N39" s="126">
        <v>11059.542371981133</v>
      </c>
      <c r="O39" s="126">
        <v>10556.811578349872</v>
      </c>
      <c r="P39" s="126">
        <v>9737.8795018356996</v>
      </c>
      <c r="Q39" s="126">
        <v>10626.9895</v>
      </c>
      <c r="R39" s="126">
        <v>10778.5497056</v>
      </c>
      <c r="S39" s="126">
        <v>9642.7097141806025</v>
      </c>
      <c r="T39" s="126">
        <v>10292.1576224</v>
      </c>
      <c r="U39" s="126">
        <v>10789.008685108951</v>
      </c>
      <c r="V39" s="126">
        <v>10694.700339042856</v>
      </c>
      <c r="W39" s="126">
        <f t="shared" ref="W39:AD39" si="3">SUM(W37:W38)</f>
        <v>10160.636824810001</v>
      </c>
      <c r="X39" s="126">
        <f t="shared" si="3"/>
        <v>8242.89048</v>
      </c>
      <c r="Y39" s="126">
        <f t="shared" si="3"/>
        <v>9040.4193379999997</v>
      </c>
      <c r="Z39" s="126">
        <f t="shared" si="3"/>
        <v>11315.721772000001</v>
      </c>
      <c r="AA39" s="126">
        <f t="shared" si="3"/>
        <v>11642.126165999998</v>
      </c>
      <c r="AB39" s="203">
        <f t="shared" si="3"/>
        <v>10453.710478900002</v>
      </c>
      <c r="AC39" s="126">
        <f t="shared" si="3"/>
        <v>11709.717803999998</v>
      </c>
      <c r="AD39" s="126">
        <f t="shared" si="3"/>
        <v>2847.7579610000003</v>
      </c>
      <c r="AE39" s="212"/>
    </row>
    <row r="40" spans="1:31" ht="15">
      <c r="A40" s="230"/>
      <c r="B40" s="231"/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231"/>
      <c r="T40" s="231"/>
      <c r="U40" s="231"/>
      <c r="V40" s="231"/>
      <c r="W40" s="231"/>
      <c r="X40" s="231"/>
      <c r="Y40" s="231"/>
      <c r="Z40" s="231"/>
      <c r="AA40" s="200"/>
      <c r="AB40" s="209"/>
      <c r="AC40" s="219"/>
      <c r="AD40" s="162"/>
      <c r="AE40" s="212"/>
    </row>
    <row r="41" spans="1:31">
      <c r="A41" s="174" t="s">
        <v>135</v>
      </c>
      <c r="B41" s="126">
        <v>7770</v>
      </c>
      <c r="C41" s="126">
        <v>7830</v>
      </c>
      <c r="D41" s="126">
        <v>7520</v>
      </c>
      <c r="E41" s="126">
        <v>6796.8</v>
      </c>
      <c r="F41" s="126">
        <v>7579.6</v>
      </c>
      <c r="G41" s="126">
        <v>7854</v>
      </c>
      <c r="H41" s="126">
        <v>7924.5230000000001</v>
      </c>
      <c r="I41" s="126">
        <v>6939.0619999999999</v>
      </c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33"/>
      <c r="U41" s="133"/>
      <c r="V41" s="133"/>
      <c r="W41" s="133"/>
      <c r="X41" s="133"/>
      <c r="Y41" s="133"/>
      <c r="Z41" s="133"/>
      <c r="AA41" s="133"/>
      <c r="AB41" s="210"/>
      <c r="AC41" s="220"/>
      <c r="AD41" s="220"/>
      <c r="AE41" s="212"/>
    </row>
    <row r="42" spans="1:31" ht="15">
      <c r="A42" s="230"/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  <c r="AA42" s="200"/>
      <c r="AB42" s="209"/>
      <c r="AC42" s="219"/>
      <c r="AD42" s="162"/>
      <c r="AE42" s="212"/>
    </row>
    <row r="43" spans="1:31" ht="15">
      <c r="A43" s="174" t="s">
        <v>131</v>
      </c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26">
        <v>2047.6308999999999</v>
      </c>
      <c r="P43" s="126">
        <v>5731.9456460000001</v>
      </c>
      <c r="Q43" s="126">
        <v>5449.9120000000003</v>
      </c>
      <c r="R43" s="126">
        <v>6208.5709160000006</v>
      </c>
      <c r="S43" s="126">
        <v>6402.2050069999987</v>
      </c>
      <c r="T43" s="126">
        <v>6359.9818879999993</v>
      </c>
      <c r="U43" s="126">
        <v>6707.9036999999989</v>
      </c>
      <c r="V43" s="126">
        <v>5715.8813859999991</v>
      </c>
      <c r="W43" s="126">
        <v>7912.9059059999981</v>
      </c>
      <c r="X43" s="126">
        <v>6189.6299740000004</v>
      </c>
      <c r="Y43" s="126">
        <v>7409.7563760000012</v>
      </c>
      <c r="Z43" s="133"/>
      <c r="AA43" s="133"/>
      <c r="AB43" s="210"/>
      <c r="AC43" s="220"/>
      <c r="AD43" s="220"/>
      <c r="AE43" s="212"/>
    </row>
    <row r="44" spans="1:31" ht="15">
      <c r="A44" s="201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9"/>
      <c r="AC44" s="219"/>
      <c r="AD44" s="162"/>
      <c r="AE44" s="212"/>
    </row>
    <row r="45" spans="1:31" ht="27" customHeight="1">
      <c r="A45" s="173" t="s">
        <v>110</v>
      </c>
      <c r="B45" s="126">
        <v>1655</v>
      </c>
      <c r="C45" s="126">
        <v>1906</v>
      </c>
      <c r="D45" s="126">
        <v>1490</v>
      </c>
      <c r="E45" s="126">
        <v>1475.1</v>
      </c>
      <c r="F45" s="126">
        <v>1463.2</v>
      </c>
      <c r="G45" s="126">
        <v>2127</v>
      </c>
      <c r="H45" s="126">
        <v>2311.1</v>
      </c>
      <c r="I45" s="126">
        <v>2356.0839999999998</v>
      </c>
      <c r="J45" s="126">
        <v>2067</v>
      </c>
      <c r="K45" s="126">
        <v>2012.288</v>
      </c>
      <c r="L45" s="175"/>
      <c r="M45" s="175"/>
      <c r="N45" s="175"/>
      <c r="O45" s="175"/>
      <c r="P45" s="175"/>
      <c r="Q45" s="175"/>
      <c r="R45" s="175"/>
      <c r="S45" s="175"/>
      <c r="T45" s="133"/>
      <c r="U45" s="133"/>
      <c r="V45" s="133"/>
      <c r="W45" s="133"/>
      <c r="X45" s="133"/>
      <c r="Y45" s="133"/>
      <c r="Z45" s="133"/>
      <c r="AA45" s="133"/>
      <c r="AB45" s="210"/>
      <c r="AC45" s="220"/>
      <c r="AD45" s="220"/>
      <c r="AE45" s="212"/>
    </row>
    <row r="46" spans="1:31" ht="15">
      <c r="A46" s="230"/>
      <c r="B46" s="231"/>
      <c r="C46" s="231"/>
      <c r="D46" s="231"/>
      <c r="E46" s="231"/>
      <c r="F46" s="231"/>
      <c r="G46" s="231"/>
      <c r="H46" s="231"/>
      <c r="I46" s="231"/>
      <c r="J46" s="231"/>
      <c r="K46" s="231"/>
      <c r="L46" s="231"/>
      <c r="M46" s="231"/>
      <c r="N46" s="231"/>
      <c r="O46" s="231"/>
      <c r="P46" s="231"/>
      <c r="Q46" s="231"/>
      <c r="R46" s="231"/>
      <c r="S46" s="231"/>
      <c r="T46" s="231"/>
      <c r="U46" s="231"/>
      <c r="V46" s="231"/>
      <c r="W46" s="231"/>
      <c r="X46" s="231"/>
      <c r="Y46" s="231"/>
      <c r="Z46" s="231"/>
      <c r="AA46" s="200"/>
      <c r="AB46" s="209"/>
      <c r="AC46" s="219"/>
      <c r="AD46" s="162"/>
      <c r="AE46" s="212"/>
    </row>
    <row r="47" spans="1:31" ht="15">
      <c r="A47" s="173" t="s">
        <v>72</v>
      </c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31"/>
      <c r="P47" s="130">
        <v>4904.1723809999994</v>
      </c>
      <c r="Q47" s="130">
        <v>9271.5010000000002</v>
      </c>
      <c r="R47" s="130">
        <v>7343.6320509999996</v>
      </c>
      <c r="S47" s="130">
        <v>10713.304999999998</v>
      </c>
      <c r="T47" s="47">
        <v>10521.456999999999</v>
      </c>
      <c r="U47" s="47">
        <v>8830.1949999999997</v>
      </c>
      <c r="V47" s="132">
        <v>12472.804000000002</v>
      </c>
      <c r="W47" s="132">
        <v>12242.064</v>
      </c>
      <c r="X47" s="132">
        <v>10072.002</v>
      </c>
      <c r="Y47" s="132">
        <v>13026.753000000002</v>
      </c>
      <c r="Z47" s="132">
        <v>12735.300999999999</v>
      </c>
      <c r="AA47" s="132">
        <v>12647.938</v>
      </c>
      <c r="AB47" s="202">
        <v>13044.806655851478</v>
      </c>
      <c r="AC47" s="132">
        <v>11654.181206380057</v>
      </c>
      <c r="AD47" s="132">
        <v>3314.5539999999996</v>
      </c>
      <c r="AE47" s="212"/>
    </row>
    <row r="48" spans="1:31" ht="15">
      <c r="A48" s="201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  <c r="AA48" s="200"/>
      <c r="AB48" s="209"/>
      <c r="AC48" s="219"/>
      <c r="AD48" s="162"/>
      <c r="AE48" s="212"/>
    </row>
    <row r="49" spans="1:31" ht="15">
      <c r="A49" s="173" t="s">
        <v>139</v>
      </c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2">
        <v>142.07811699999999</v>
      </c>
      <c r="AE49" s="212"/>
    </row>
    <row r="50" spans="1:31" ht="15">
      <c r="A50" s="201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9"/>
      <c r="AC50" s="219"/>
      <c r="AD50" s="162"/>
      <c r="AE50" s="212"/>
    </row>
    <row r="51" spans="1:31">
      <c r="A51" s="226" t="s">
        <v>40</v>
      </c>
      <c r="B51" s="227"/>
      <c r="C51" s="227"/>
      <c r="D51" s="227"/>
      <c r="E51" s="227"/>
      <c r="F51" s="227"/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198"/>
      <c r="AB51" s="208"/>
      <c r="AC51" s="218"/>
      <c r="AD51" s="162"/>
      <c r="AE51" s="212"/>
    </row>
    <row r="52" spans="1:31" ht="15">
      <c r="A52" s="128" t="s">
        <v>41</v>
      </c>
      <c r="B52" s="176" t="s">
        <v>26</v>
      </c>
      <c r="C52" s="177" t="s">
        <v>26</v>
      </c>
      <c r="D52" s="177" t="s">
        <v>26</v>
      </c>
      <c r="E52" s="132">
        <v>13.356999999999999</v>
      </c>
      <c r="F52" s="132">
        <v>84.963999999999999</v>
      </c>
      <c r="G52" s="132">
        <v>83</v>
      </c>
      <c r="H52" s="132">
        <v>92.578999999999994</v>
      </c>
      <c r="I52" s="132">
        <v>93.277000000000001</v>
      </c>
      <c r="J52" s="132">
        <v>94</v>
      </c>
      <c r="K52" s="132">
        <v>62.968000000000004</v>
      </c>
      <c r="L52" s="132">
        <v>83.328999999999994</v>
      </c>
      <c r="M52" s="132">
        <v>55.34</v>
      </c>
      <c r="N52" s="132">
        <v>68.478000000000009</v>
      </c>
      <c r="O52" s="132">
        <v>69.284999999999997</v>
      </c>
      <c r="P52" s="132">
        <v>56.518999999999998</v>
      </c>
      <c r="Q52" s="132">
        <v>65.225999999999999</v>
      </c>
      <c r="R52" s="132">
        <v>50.651699999999991</v>
      </c>
      <c r="S52" s="132">
        <v>67.371527</v>
      </c>
      <c r="T52" s="132">
        <v>85.354346000000021</v>
      </c>
      <c r="U52" s="132">
        <v>79.581655000000012</v>
      </c>
      <c r="V52" s="132">
        <v>66.15625399999999</v>
      </c>
      <c r="W52" s="132">
        <f>+'Monthwise 2019-20'!N35</f>
        <v>86.928253000000012</v>
      </c>
      <c r="X52" s="132">
        <f>+'Monthwise 2020-21'!N35</f>
        <v>80.989876999999993</v>
      </c>
      <c r="Y52" s="132">
        <v>75.132763999999995</v>
      </c>
      <c r="Z52" s="132">
        <v>73.221177999999995</v>
      </c>
      <c r="AA52" s="132">
        <v>65.409207999999992</v>
      </c>
      <c r="AB52" s="202">
        <v>73.759834894999997</v>
      </c>
      <c r="AC52" s="132">
        <v>74.318623559000002</v>
      </c>
      <c r="AD52" s="132">
        <v>14.694203003999998</v>
      </c>
      <c r="AE52" s="212"/>
    </row>
    <row r="53" spans="1:31" s="9" customFormat="1" ht="15">
      <c r="A53" s="128" t="s">
        <v>42</v>
      </c>
      <c r="B53" s="132">
        <v>4069</v>
      </c>
      <c r="C53" s="132">
        <v>5202</v>
      </c>
      <c r="D53" s="132">
        <v>6438</v>
      </c>
      <c r="E53" s="132">
        <v>5487.5</v>
      </c>
      <c r="F53" s="132">
        <v>7253</v>
      </c>
      <c r="G53" s="132">
        <v>10068</v>
      </c>
      <c r="H53" s="132">
        <v>11809.092000000001</v>
      </c>
      <c r="I53" s="132">
        <v>12014.156999999999</v>
      </c>
      <c r="J53" s="132">
        <v>12536</v>
      </c>
      <c r="K53" s="132">
        <v>12524.739</v>
      </c>
      <c r="L53" s="132">
        <v>12576.132</v>
      </c>
      <c r="M53" s="132">
        <v>12497.793</v>
      </c>
      <c r="N53" s="132">
        <v>12662.319999999998</v>
      </c>
      <c r="O53" s="132">
        <v>12798.359</v>
      </c>
      <c r="P53" s="132">
        <v>14414.827300000003</v>
      </c>
      <c r="Q53" s="132">
        <v>14588.522999999999</v>
      </c>
      <c r="R53" s="132">
        <v>14632.033010000003</v>
      </c>
      <c r="S53" s="132">
        <v>15531.991</v>
      </c>
      <c r="T53" s="132">
        <v>15965.294837092804</v>
      </c>
      <c r="U53" s="132">
        <v>16129.76503</v>
      </c>
      <c r="V53" s="132">
        <v>16231.0445776</v>
      </c>
      <c r="W53" s="132">
        <f>+'Monthwise 2019-20'!N36</f>
        <v>13953.106120572538</v>
      </c>
      <c r="X53" s="132">
        <f>+'Monthwise 2020-21'!N36</f>
        <v>11474.547244528501</v>
      </c>
      <c r="Y53" s="132">
        <v>14870.674593000003</v>
      </c>
      <c r="Z53" s="132">
        <v>17116.2755</v>
      </c>
      <c r="AA53" s="132">
        <v>16533.435766308001</v>
      </c>
      <c r="AB53" s="202">
        <v>18043.580252691998</v>
      </c>
      <c r="AC53" s="132">
        <v>16773.905802999994</v>
      </c>
      <c r="AD53" s="132">
        <v>4305.0292999999992</v>
      </c>
      <c r="AE53" s="213"/>
    </row>
    <row r="54" spans="1:31" s="9" customFormat="1" ht="15">
      <c r="A54" s="174" t="s">
        <v>43</v>
      </c>
      <c r="B54" s="126">
        <v>4069</v>
      </c>
      <c r="C54" s="126">
        <v>5202</v>
      </c>
      <c r="D54" s="126">
        <v>6438</v>
      </c>
      <c r="E54" s="126">
        <v>5500.857</v>
      </c>
      <c r="F54" s="126">
        <v>7337.9639999999999</v>
      </c>
      <c r="G54" s="126">
        <v>10151</v>
      </c>
      <c r="H54" s="126">
        <v>11901.671</v>
      </c>
      <c r="I54" s="126">
        <v>12107.433999999999</v>
      </c>
      <c r="J54" s="126">
        <v>12630</v>
      </c>
      <c r="K54" s="126">
        <v>12587.707</v>
      </c>
      <c r="L54" s="126">
        <v>12659.460999999999</v>
      </c>
      <c r="M54" s="126">
        <v>12553.133</v>
      </c>
      <c r="N54" s="126">
        <v>12730.797999999997</v>
      </c>
      <c r="O54" s="126">
        <v>12867.644</v>
      </c>
      <c r="P54" s="126">
        <v>14471.346300000003</v>
      </c>
      <c r="Q54" s="126">
        <v>14653.749</v>
      </c>
      <c r="R54" s="126">
        <v>14682.684710000003</v>
      </c>
      <c r="S54" s="126">
        <v>15599.362526999999</v>
      </c>
      <c r="T54" s="126">
        <v>16050.649183092804</v>
      </c>
      <c r="U54" s="126">
        <v>16209.346685</v>
      </c>
      <c r="V54" s="126">
        <v>16297.200831600001</v>
      </c>
      <c r="W54" s="126">
        <f t="shared" ref="W54:AD54" si="4">SUM(W52:W53)</f>
        <v>14040.034373572538</v>
      </c>
      <c r="X54" s="126">
        <f t="shared" si="4"/>
        <v>11555.537121528501</v>
      </c>
      <c r="Y54" s="126">
        <f t="shared" si="4"/>
        <v>14945.807357000003</v>
      </c>
      <c r="Z54" s="126">
        <f t="shared" si="4"/>
        <v>17189.496678</v>
      </c>
      <c r="AA54" s="126">
        <f t="shared" si="4"/>
        <v>16598.844974308002</v>
      </c>
      <c r="AB54" s="203">
        <f t="shared" si="4"/>
        <v>18117.340087586999</v>
      </c>
      <c r="AC54" s="126">
        <f t="shared" si="4"/>
        <v>16848.224426558994</v>
      </c>
      <c r="AD54" s="126">
        <f t="shared" si="4"/>
        <v>4319.7235030039992</v>
      </c>
      <c r="AE54" s="213"/>
    </row>
    <row r="55" spans="1:31">
      <c r="A55" s="226" t="s">
        <v>44</v>
      </c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198"/>
      <c r="AB55" s="208"/>
      <c r="AC55" s="218"/>
      <c r="AD55" s="162"/>
      <c r="AE55" s="212"/>
    </row>
    <row r="56" spans="1:31" ht="15">
      <c r="A56" s="128" t="s">
        <v>45</v>
      </c>
      <c r="B56" s="176" t="s">
        <v>26</v>
      </c>
      <c r="C56" s="132">
        <v>11673</v>
      </c>
      <c r="D56" s="132">
        <v>25716</v>
      </c>
      <c r="E56" s="132">
        <v>28940.77</v>
      </c>
      <c r="F56" s="132">
        <v>28546.76</v>
      </c>
      <c r="G56" s="132">
        <v>29542</v>
      </c>
      <c r="H56" s="132">
        <v>31489.514999999999</v>
      </c>
      <c r="I56" s="132">
        <v>30470.858</v>
      </c>
      <c r="J56" s="132">
        <v>31670</v>
      </c>
      <c r="K56" s="132">
        <v>31795.486000000001</v>
      </c>
      <c r="L56" s="132">
        <v>31971.170999999998</v>
      </c>
      <c r="M56" s="132">
        <v>31378.671999999999</v>
      </c>
      <c r="N56" s="132">
        <v>31047.574000000001</v>
      </c>
      <c r="O56" s="132">
        <v>32494.49929</v>
      </c>
      <c r="P56" s="132">
        <v>32613.439816000002</v>
      </c>
      <c r="Q56" s="132">
        <v>30304.822</v>
      </c>
      <c r="R56" s="132">
        <v>30867.3946</v>
      </c>
      <c r="S56" s="132">
        <v>32428.383651</v>
      </c>
      <c r="T56" s="132">
        <v>32823.150569999998</v>
      </c>
      <c r="U56" s="132">
        <v>33152.749897000002</v>
      </c>
      <c r="V56" s="132">
        <v>31752.151242000004</v>
      </c>
      <c r="W56" s="132">
        <f>+'Monthwise 2019-20'!N46</f>
        <v>33018.532070000001</v>
      </c>
      <c r="X56" s="132">
        <f>+'Monthwise 2020-21'!N46</f>
        <v>34099.679796999997</v>
      </c>
      <c r="Y56" s="132">
        <v>34757.067293</v>
      </c>
      <c r="Z56" s="132">
        <v>34433.469385000004</v>
      </c>
      <c r="AA56" s="132">
        <v>34390.101257999995</v>
      </c>
      <c r="AB56" s="202">
        <v>34990.492633000002</v>
      </c>
      <c r="AC56" s="132">
        <v>33646.362206000005</v>
      </c>
      <c r="AD56" s="132">
        <v>6824.612443</v>
      </c>
      <c r="AE56" s="212"/>
    </row>
    <row r="57" spans="1:31" ht="15">
      <c r="A57" s="128" t="s">
        <v>46</v>
      </c>
      <c r="B57" s="176" t="s">
        <v>26</v>
      </c>
      <c r="C57" s="176" t="s">
        <v>26</v>
      </c>
      <c r="D57" s="132" t="s">
        <v>26</v>
      </c>
      <c r="E57" s="132" t="s">
        <v>26</v>
      </c>
      <c r="F57" s="132" t="s">
        <v>26</v>
      </c>
      <c r="G57" s="132" t="s">
        <v>26</v>
      </c>
      <c r="H57" s="132" t="s">
        <v>26</v>
      </c>
      <c r="I57" s="132" t="s">
        <v>26</v>
      </c>
      <c r="J57" s="132">
        <v>0</v>
      </c>
      <c r="K57" s="132">
        <v>0</v>
      </c>
      <c r="L57" s="132">
        <v>3651.6</v>
      </c>
      <c r="M57" s="132">
        <v>29555</v>
      </c>
      <c r="N57" s="132">
        <v>35572</v>
      </c>
      <c r="O57" s="132">
        <v>35186</v>
      </c>
      <c r="P57" s="132">
        <v>35891.343000000001</v>
      </c>
      <c r="Q57" s="132">
        <v>37721.86</v>
      </c>
      <c r="R57" s="132">
        <v>37174.151999999995</v>
      </c>
      <c r="S57" s="132">
        <v>37132.631999999998</v>
      </c>
      <c r="T57" s="132">
        <v>37350.720000000001</v>
      </c>
      <c r="U57" s="132">
        <v>37317.294999999998</v>
      </c>
      <c r="V57" s="132">
        <v>37392.848000000005</v>
      </c>
      <c r="W57" s="132">
        <f>+'Monthwise 2019-20'!N47</f>
        <v>35876.453999999998</v>
      </c>
      <c r="X57" s="132">
        <f>+'Monthwise 2020-21'!N47</f>
        <v>26841.275090800002</v>
      </c>
      <c r="Y57" s="132">
        <v>28264.424356</v>
      </c>
      <c r="Z57" s="132">
        <v>27871.757623999998</v>
      </c>
      <c r="AA57" s="132">
        <v>28299.948917000002</v>
      </c>
      <c r="AB57" s="202">
        <v>31191.571794999996</v>
      </c>
      <c r="AC57" s="132">
        <v>33682.332485000006</v>
      </c>
      <c r="AD57" s="132">
        <v>8876.9152109999995</v>
      </c>
      <c r="AE57" s="212"/>
    </row>
    <row r="58" spans="1:31">
      <c r="A58" s="174" t="s">
        <v>47</v>
      </c>
      <c r="B58" s="178">
        <v>0</v>
      </c>
      <c r="C58" s="126">
        <v>11673</v>
      </c>
      <c r="D58" s="126">
        <v>25716</v>
      </c>
      <c r="E58" s="126">
        <v>28940.77</v>
      </c>
      <c r="F58" s="126">
        <v>28546.76</v>
      </c>
      <c r="G58" s="126">
        <v>29542</v>
      </c>
      <c r="H58" s="126">
        <v>31489.514999999999</v>
      </c>
      <c r="I58" s="126">
        <v>30470.858</v>
      </c>
      <c r="J58" s="126">
        <v>31670</v>
      </c>
      <c r="K58" s="126">
        <v>31795.486000000001</v>
      </c>
      <c r="L58" s="126">
        <v>35622.771000000001</v>
      </c>
      <c r="M58" s="126">
        <v>60933.671999999999</v>
      </c>
      <c r="N58" s="126">
        <v>66619.573999999993</v>
      </c>
      <c r="O58" s="126">
        <v>67680.499290000007</v>
      </c>
      <c r="P58" s="126">
        <v>68504.782816000006</v>
      </c>
      <c r="Q58" s="126">
        <v>68026.682000000001</v>
      </c>
      <c r="R58" s="126">
        <v>68041.546600000001</v>
      </c>
      <c r="S58" s="126">
        <v>69561.015650999994</v>
      </c>
      <c r="T58" s="126">
        <v>70173.870569999999</v>
      </c>
      <c r="U58" s="126">
        <v>70470.044897</v>
      </c>
      <c r="V58" s="126">
        <v>69144.999242000005</v>
      </c>
      <c r="W58" s="126">
        <f t="shared" ref="W58:AD58" si="5">SUM(W56:W57)</f>
        <v>68894.986069999999</v>
      </c>
      <c r="X58" s="126">
        <f t="shared" si="5"/>
        <v>60940.954887799999</v>
      </c>
      <c r="Y58" s="126">
        <f t="shared" si="5"/>
        <v>63021.491649000003</v>
      </c>
      <c r="Z58" s="126">
        <f t="shared" si="5"/>
        <v>62305.227009000002</v>
      </c>
      <c r="AA58" s="126">
        <f t="shared" si="5"/>
        <v>62690.050174999997</v>
      </c>
      <c r="AB58" s="203">
        <f t="shared" si="5"/>
        <v>66182.064427999998</v>
      </c>
      <c r="AC58" s="126">
        <f t="shared" si="5"/>
        <v>67328.694691000012</v>
      </c>
      <c r="AD58" s="126">
        <f t="shared" si="5"/>
        <v>15701.527654</v>
      </c>
      <c r="AE58" s="212"/>
    </row>
    <row r="59" spans="1:31">
      <c r="A59" s="226"/>
      <c r="B59" s="227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198"/>
      <c r="AB59" s="208"/>
      <c r="AC59" s="218"/>
      <c r="AD59" s="162"/>
      <c r="AE59" s="212"/>
    </row>
    <row r="60" spans="1:31" ht="29.25" customHeight="1">
      <c r="A60" s="179" t="s">
        <v>113</v>
      </c>
      <c r="B60" s="180">
        <v>0</v>
      </c>
      <c r="C60" s="180">
        <v>0</v>
      </c>
      <c r="D60" s="160">
        <v>0</v>
      </c>
      <c r="E60" s="160">
        <v>0</v>
      </c>
      <c r="F60" s="160">
        <v>0</v>
      </c>
      <c r="G60" s="160">
        <v>0</v>
      </c>
      <c r="H60" s="160">
        <v>0</v>
      </c>
      <c r="I60" s="160">
        <v>0</v>
      </c>
      <c r="J60" s="160">
        <v>1762</v>
      </c>
      <c r="K60" s="160">
        <v>6498.0349999999999</v>
      </c>
      <c r="L60" s="160">
        <v>12916.495000000001</v>
      </c>
      <c r="M60" s="160">
        <v>13501.848</v>
      </c>
      <c r="N60" s="160">
        <v>14755.989558116999</v>
      </c>
      <c r="O60" s="160">
        <v>13496.145627000002</v>
      </c>
      <c r="P60" s="160">
        <v>19769.083151999999</v>
      </c>
      <c r="Q60" s="160">
        <v>20202.334999999999</v>
      </c>
      <c r="R60" s="160">
        <v>20491.099999999999</v>
      </c>
      <c r="S60" s="160">
        <v>19101.07</v>
      </c>
      <c r="T60" s="160">
        <v>20918.831932272002</v>
      </c>
      <c r="U60" s="160">
        <v>20692.879511628002</v>
      </c>
      <c r="V60" s="160">
        <v>18895.514856852998</v>
      </c>
      <c r="W60" s="160">
        <f>+'Monthwise 2019-20'!N50</f>
        <v>20620.177720455998</v>
      </c>
      <c r="X60" s="160">
        <f>+'Monthwise 2020-21'!N50</f>
        <v>17067.111405521719</v>
      </c>
      <c r="Y60" s="160">
        <v>20164.411299278003</v>
      </c>
      <c r="Z60" s="160">
        <v>18692.446725520003</v>
      </c>
      <c r="AA60" s="160">
        <v>20322.449642393003</v>
      </c>
      <c r="AB60" s="207">
        <v>20486.754414327996</v>
      </c>
      <c r="AC60" s="160">
        <v>18851.338758032998</v>
      </c>
      <c r="AD60" s="160">
        <v>2684.9185857330003</v>
      </c>
      <c r="AE60" s="212"/>
    </row>
    <row r="61" spans="1:31">
      <c r="A61" s="226"/>
      <c r="B61" s="227"/>
      <c r="C61" s="227"/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198"/>
      <c r="AB61" s="208"/>
      <c r="AC61" s="218"/>
      <c r="AD61" s="162"/>
    </row>
    <row r="62" spans="1:31" ht="15">
      <c r="A62" s="181" t="s">
        <v>49</v>
      </c>
      <c r="B62" s="126">
        <v>68539</v>
      </c>
      <c r="C62" s="126">
        <v>85709</v>
      </c>
      <c r="D62" s="126">
        <v>103108</v>
      </c>
      <c r="E62" s="126">
        <v>106540.77300000002</v>
      </c>
      <c r="F62" s="126">
        <v>110581.03416999998</v>
      </c>
      <c r="G62" s="126">
        <v>118680</v>
      </c>
      <c r="H62" s="126">
        <v>124302.27500000002</v>
      </c>
      <c r="I62" s="126">
        <v>126986.16399999999</v>
      </c>
      <c r="J62" s="126">
        <v>141463</v>
      </c>
      <c r="K62" s="126">
        <v>150805.66699999999</v>
      </c>
      <c r="L62" s="126">
        <v>160710.46099999998</v>
      </c>
      <c r="M62" s="126">
        <v>186562.32499999998</v>
      </c>
      <c r="N62" s="126">
        <v>196485.28210071812</v>
      </c>
      <c r="O62" s="126">
        <v>203757.15212134988</v>
      </c>
      <c r="P62" s="126">
        <v>218847.43654083571</v>
      </c>
      <c r="Q62" s="126">
        <v>222452.67550000001</v>
      </c>
      <c r="R62" s="126">
        <v>223263.99736960002</v>
      </c>
      <c r="S62" s="126">
        <v>232865.81258319668</v>
      </c>
      <c r="T62" s="126">
        <v>245366.10191166357</v>
      </c>
      <c r="U62" s="126">
        <f>+U12+U13+U14+U15+U16+U17+U18+U19+U20+U24+U25+U29+U30+U34+U37+U38+U43+U47+U52+U53+U56+U57+U60</f>
        <v>251934.81658118143</v>
      </c>
      <c r="V62" s="126">
        <f>+V12+V13+V14+V15+V16+V17+V18+V19+V20+V24+V25+V29+V30+V34+V37+V38+V43+V47+V52+V53+V56+V57+V60</f>
        <v>257204.85395457561</v>
      </c>
      <c r="W62" s="126">
        <f>+W12+W13+W14+W15+W16+W17+W18+W19+W20+W24+W25+W29+W30+W34+W37+W38+W43+W47+W52+W53+W56+W57+W60</f>
        <v>254385.82343815244</v>
      </c>
      <c r="X62" s="126">
        <f>+X12+X13+X14+X15+X16+X17+X18+X19+X20+X24+X25+X29+X30+X34+X37+X38+X43+X47+X52+X53+X56+X57+X60</f>
        <v>221773.19590647393</v>
      </c>
      <c r="Y62" s="126">
        <f>+Y21+Y26+Y32+Y34+Y39+Y54+Y58+Y60+Y47+Y43</f>
        <v>241703.64543717145</v>
      </c>
      <c r="Z62" s="126">
        <f>+Z21+Z26+Z32+Z34+Z39+Z54+Z58+Z60+Z47</f>
        <v>255232.12164050783</v>
      </c>
      <c r="AA62" s="126">
        <f>+AA21+AA26+AA32+AA34+AA39+AA54+AA58+AA60+AA47</f>
        <v>261546.00737294287</v>
      </c>
      <c r="AB62" s="203">
        <f>+AB21+AB26+AB32+AB34+AB39+AB54+AB58+AB60+AB47</f>
        <v>268613.32683353225</v>
      </c>
      <c r="AC62" s="126">
        <f>+AC21+AC26+AC32+AC34+AC39+AC54+AC58+AC60+AC47</f>
        <v>271991.18110495206</v>
      </c>
      <c r="AD62" s="126">
        <f>+AD21+AD26+AD32+AD34+AD39+AD54+AD58+AD60+AD47+AD49</f>
        <v>65694.881210538399</v>
      </c>
    </row>
    <row r="63" spans="1:31" ht="16.5" customHeight="1">
      <c r="A63" s="182" t="s">
        <v>94</v>
      </c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</row>
    <row r="64" spans="1:31" ht="21" customHeight="1">
      <c r="A64" s="228" t="s">
        <v>120</v>
      </c>
      <c r="B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</row>
    <row r="65" spans="1:27" s="121" customFormat="1">
      <c r="A65" s="223"/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24"/>
      <c r="O65" s="2"/>
      <c r="P65" s="2"/>
      <c r="Q65" s="2"/>
      <c r="R65" s="2"/>
      <c r="S65" s="2"/>
      <c r="T65" s="2"/>
      <c r="U65" s="2"/>
      <c r="V65" s="2"/>
      <c r="W65" s="2"/>
    </row>
    <row r="66" spans="1:27" ht="15">
      <c r="A66" s="123"/>
      <c r="B66" s="124"/>
      <c r="C66" s="124"/>
      <c r="D66" s="122"/>
      <c r="E66" s="122"/>
      <c r="F66" s="122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1"/>
      <c r="U66" s="121"/>
      <c r="V66" s="121"/>
      <c r="W66" s="121"/>
      <c r="Y66" s="195"/>
      <c r="Z66" s="196"/>
      <c r="AA66" s="196"/>
    </row>
    <row r="67" spans="1:27">
      <c r="T67" s="121"/>
      <c r="V67" s="188"/>
      <c r="W67" s="189"/>
      <c r="X67" s="190"/>
    </row>
  </sheetData>
  <mergeCells count="20">
    <mergeCell ref="A9:AD9"/>
    <mergeCell ref="B8:AD8"/>
    <mergeCell ref="A51:Z51"/>
    <mergeCell ref="C2:N2"/>
    <mergeCell ref="A11:Z11"/>
    <mergeCell ref="A22:Z22"/>
    <mergeCell ref="A33:Z33"/>
    <mergeCell ref="A35:Z35"/>
    <mergeCell ref="A36:Z36"/>
    <mergeCell ref="A23:Z23"/>
    <mergeCell ref="A28:Z28"/>
    <mergeCell ref="A65:N65"/>
    <mergeCell ref="A2:B6"/>
    <mergeCell ref="A55:Z55"/>
    <mergeCell ref="A59:Z59"/>
    <mergeCell ref="A61:Z61"/>
    <mergeCell ref="A64:Y64"/>
    <mergeCell ref="A40:Z40"/>
    <mergeCell ref="A42:Z42"/>
    <mergeCell ref="A46:Z46"/>
  </mergeCells>
  <printOptions horizontalCentered="1" verticalCentered="1"/>
  <pageMargins left="0" right="0" top="0" bottom="0" header="0.3" footer="0.3"/>
  <pageSetup paperSize="9" scale="59" orientation="landscape" horizontalDpi="4294967295" verticalDpi="4294967295" r:id="rId1"/>
  <ignoredErrors>
    <ignoredError sqref="Y62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C53C-99A1-4AE2-8C1C-6A61F1836C79}">
  <dimension ref="A2:P55"/>
  <sheetViews>
    <sheetView workbookViewId="0">
      <selection activeCell="I57" sqref="I57"/>
    </sheetView>
  </sheetViews>
  <sheetFormatPr defaultRowHeight="15"/>
  <cols>
    <col min="1" max="1" width="37.42578125" style="100" customWidth="1"/>
    <col min="2" max="10" width="10.85546875" style="100" customWidth="1"/>
    <col min="11" max="13" width="8.5703125" style="108" bestFit="1" customWidth="1"/>
    <col min="14" max="14" width="12.7109375" style="108" customWidth="1"/>
    <col min="15" max="15" width="9.140625" style="100"/>
    <col min="16" max="16" width="10.7109375" style="100" bestFit="1" customWidth="1"/>
    <col min="17" max="16384" width="9.140625" style="100"/>
  </cols>
  <sheetData>
    <row r="2" spans="1:14" ht="20.25">
      <c r="A2" s="225"/>
      <c r="B2" s="225"/>
      <c r="C2" s="242" t="s">
        <v>0</v>
      </c>
      <c r="D2" s="242"/>
      <c r="E2" s="242"/>
      <c r="F2" s="242"/>
      <c r="G2" s="242"/>
      <c r="H2" s="242"/>
    </row>
    <row r="3" spans="1:14">
      <c r="A3" s="225"/>
      <c r="B3" s="225"/>
    </row>
    <row r="4" spans="1:14">
      <c r="A4" s="225"/>
      <c r="B4" s="225"/>
    </row>
    <row r="5" spans="1:14">
      <c r="A5" s="225"/>
      <c r="B5" s="225"/>
    </row>
    <row r="6" spans="1:14">
      <c r="A6" s="225"/>
      <c r="B6" s="225"/>
    </row>
    <row r="7" spans="1:14" ht="18.75">
      <c r="A7" s="163" t="s">
        <v>129</v>
      </c>
      <c r="B7" s="164"/>
      <c r="C7" s="164"/>
      <c r="D7" s="164"/>
      <c r="E7" s="164"/>
      <c r="F7" s="164"/>
      <c r="G7" s="164"/>
      <c r="H7" s="164"/>
      <c r="I7" s="243" t="s">
        <v>2</v>
      </c>
      <c r="J7" s="243"/>
      <c r="K7" s="243"/>
      <c r="L7" s="243"/>
      <c r="M7" s="243"/>
      <c r="N7" s="243"/>
    </row>
    <row r="8" spans="1:14" ht="19.5" customHeight="1">
      <c r="A8" s="244" t="s">
        <v>3</v>
      </c>
      <c r="B8" s="245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6"/>
    </row>
    <row r="9" spans="1:14" ht="18.75">
      <c r="A9" s="112" t="s">
        <v>51</v>
      </c>
      <c r="B9" s="113" t="s">
        <v>52</v>
      </c>
      <c r="C9" s="114" t="s">
        <v>53</v>
      </c>
      <c r="D9" s="114" t="s">
        <v>54</v>
      </c>
      <c r="E9" s="114" t="s">
        <v>55</v>
      </c>
      <c r="F9" s="114" t="s">
        <v>56</v>
      </c>
      <c r="G9" s="114" t="s">
        <v>98</v>
      </c>
      <c r="H9" s="114" t="s">
        <v>58</v>
      </c>
      <c r="I9" s="114" t="s">
        <v>59</v>
      </c>
      <c r="J9" s="114" t="s">
        <v>60</v>
      </c>
      <c r="K9" s="134" t="s">
        <v>61</v>
      </c>
      <c r="L9" s="134" t="s">
        <v>62</v>
      </c>
      <c r="M9" s="134" t="s">
        <v>63</v>
      </c>
      <c r="N9" s="134" t="s">
        <v>64</v>
      </c>
    </row>
    <row r="10" spans="1:14">
      <c r="A10" s="115" t="s">
        <v>17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2"/>
      <c r="L10" s="102"/>
      <c r="M10" s="102"/>
      <c r="N10" s="102"/>
    </row>
    <row r="11" spans="1:14">
      <c r="A11" s="101" t="s">
        <v>22</v>
      </c>
      <c r="B11" s="102">
        <v>545.01599999999996</v>
      </c>
      <c r="C11" s="102">
        <v>548.74799999999982</v>
      </c>
      <c r="D11" s="102">
        <v>566.24800000000005</v>
      </c>
      <c r="E11" s="102">
        <v>585.92200000000003</v>
      </c>
      <c r="F11" s="102">
        <v>586.9580000000002</v>
      </c>
      <c r="G11" s="102">
        <v>485.73199999999997</v>
      </c>
      <c r="H11" s="102">
        <v>576.14100000000008</v>
      </c>
      <c r="I11" s="102">
        <v>569.05100000000016</v>
      </c>
      <c r="J11" s="102">
        <v>599.19100000000003</v>
      </c>
      <c r="K11" s="102">
        <v>543.60300000000007</v>
      </c>
      <c r="L11" s="102">
        <v>455.9910000000001</v>
      </c>
      <c r="M11" s="102">
        <v>450.65699999999998</v>
      </c>
      <c r="N11" s="110">
        <f>SUM(B11:M11)</f>
        <v>6513.2579999999998</v>
      </c>
    </row>
    <row r="12" spans="1:14">
      <c r="A12" s="101" t="s">
        <v>18</v>
      </c>
      <c r="B12" s="102">
        <v>1290.7669999999998</v>
      </c>
      <c r="C12" s="102">
        <v>1326.3219999999999</v>
      </c>
      <c r="D12" s="102">
        <v>1300.0290000000005</v>
      </c>
      <c r="E12" s="102">
        <v>1351.865</v>
      </c>
      <c r="F12" s="102">
        <v>1342.5430000000001</v>
      </c>
      <c r="G12" s="102">
        <v>1315.6139999999996</v>
      </c>
      <c r="H12" s="102">
        <v>1356.925</v>
      </c>
      <c r="I12" s="102">
        <v>1318.2460000000001</v>
      </c>
      <c r="J12" s="102">
        <v>1317.7729999999999</v>
      </c>
      <c r="K12" s="102">
        <v>1315.5709999999999</v>
      </c>
      <c r="L12" s="102">
        <v>930.31999999999982</v>
      </c>
      <c r="M12" s="102">
        <v>1117.0709999999999</v>
      </c>
      <c r="N12" s="110">
        <f t="shared" ref="N12:N19" si="0">SUM(B12:M12)</f>
        <v>15283.045999999997</v>
      </c>
    </row>
    <row r="13" spans="1:14">
      <c r="A13" s="101" t="s">
        <v>21</v>
      </c>
      <c r="B13" s="102">
        <v>656.298</v>
      </c>
      <c r="C13" s="102">
        <v>689.53100000000018</v>
      </c>
      <c r="D13" s="102">
        <v>672.64400000000001</v>
      </c>
      <c r="E13" s="102">
        <v>666.78800000000001</v>
      </c>
      <c r="F13" s="102">
        <v>283.85500000000002</v>
      </c>
      <c r="G13" s="102">
        <v>38.053999999999995</v>
      </c>
      <c r="H13" s="102">
        <v>364.32499999999999</v>
      </c>
      <c r="I13" s="102">
        <v>702.64199999999994</v>
      </c>
      <c r="J13" s="102">
        <v>747.23099999999977</v>
      </c>
      <c r="K13" s="102">
        <v>744.38299999999992</v>
      </c>
      <c r="L13" s="102">
        <v>641.58499999999992</v>
      </c>
      <c r="M13" s="102">
        <v>727.16</v>
      </c>
      <c r="N13" s="110">
        <f t="shared" si="0"/>
        <v>6934.4960000000001</v>
      </c>
    </row>
    <row r="14" spans="1:14">
      <c r="A14" s="101" t="s">
        <v>19</v>
      </c>
      <c r="B14" s="102">
        <v>859.67199999999991</v>
      </c>
      <c r="C14" s="102">
        <v>839.72099999999989</v>
      </c>
      <c r="D14" s="102">
        <v>845.11400000000003</v>
      </c>
      <c r="E14" s="102">
        <v>688.44400000000007</v>
      </c>
      <c r="F14" s="102">
        <v>589.30500000000006</v>
      </c>
      <c r="G14" s="102">
        <v>585.73699999999997</v>
      </c>
      <c r="H14" s="102">
        <v>41.683</v>
      </c>
      <c r="I14" s="102">
        <v>323.19399999999996</v>
      </c>
      <c r="J14" s="102">
        <v>874.38600000000008</v>
      </c>
      <c r="K14" s="102">
        <v>740.41800000000012</v>
      </c>
      <c r="L14" s="102">
        <v>790.15400000000011</v>
      </c>
      <c r="M14" s="102">
        <v>875.99199999999996</v>
      </c>
      <c r="N14" s="110">
        <f t="shared" si="0"/>
        <v>8053.82</v>
      </c>
    </row>
    <row r="15" spans="1:14">
      <c r="A15" s="101" t="s">
        <v>20</v>
      </c>
      <c r="B15" s="102">
        <v>1283.0539999999999</v>
      </c>
      <c r="C15" s="102">
        <v>1269.2800000000002</v>
      </c>
      <c r="D15" s="102">
        <v>1298.8530000000001</v>
      </c>
      <c r="E15" s="102">
        <v>1241.4340000000004</v>
      </c>
      <c r="F15" s="102">
        <v>1151.3720000000003</v>
      </c>
      <c r="G15" s="102">
        <v>1248.0880000000002</v>
      </c>
      <c r="H15" s="102">
        <v>1353.3969999999999</v>
      </c>
      <c r="I15" s="102">
        <v>1354.4849999999999</v>
      </c>
      <c r="J15" s="102">
        <v>1389.7979999999998</v>
      </c>
      <c r="K15" s="102">
        <v>1318.665</v>
      </c>
      <c r="L15" s="102">
        <v>1163.7380000000001</v>
      </c>
      <c r="M15" s="102">
        <v>1326.104</v>
      </c>
      <c r="N15" s="110">
        <f t="shared" si="0"/>
        <v>15398.267999999998</v>
      </c>
    </row>
    <row r="16" spans="1:14">
      <c r="A16" s="101" t="s">
        <v>23</v>
      </c>
      <c r="B16" s="102">
        <v>108.91699999999999</v>
      </c>
      <c r="C16" s="102">
        <v>110.964</v>
      </c>
      <c r="D16" s="102">
        <v>107.50800000000001</v>
      </c>
      <c r="E16" s="102">
        <v>104.554</v>
      </c>
      <c r="F16" s="102">
        <v>101.19500000000001</v>
      </c>
      <c r="G16" s="102">
        <v>86.564999999999998</v>
      </c>
      <c r="H16" s="102">
        <v>109.88400000000001</v>
      </c>
      <c r="I16" s="102">
        <v>91.723000000000013</v>
      </c>
      <c r="J16" s="102">
        <v>41.827000000000005</v>
      </c>
      <c r="K16" s="102">
        <v>105.425</v>
      </c>
      <c r="L16" s="102">
        <v>98.788999999999987</v>
      </c>
      <c r="M16" s="102">
        <v>110.849</v>
      </c>
      <c r="N16" s="110">
        <f t="shared" si="0"/>
        <v>1178.1999999999998</v>
      </c>
    </row>
    <row r="17" spans="1:16">
      <c r="A17" s="101" t="s">
        <v>24</v>
      </c>
      <c r="B17" s="102">
        <v>64.893000000000001</v>
      </c>
      <c r="C17" s="102">
        <v>65.042000000000002</v>
      </c>
      <c r="D17" s="102">
        <v>63.447000000000003</v>
      </c>
      <c r="E17" s="102">
        <v>57.407000000000004</v>
      </c>
      <c r="F17" s="102">
        <v>68.373000000000005</v>
      </c>
      <c r="G17" s="102">
        <v>59.009</v>
      </c>
      <c r="H17" s="102">
        <v>71.024000000000001</v>
      </c>
      <c r="I17" s="102">
        <v>69.129000000000005</v>
      </c>
      <c r="J17" s="102">
        <v>63.094999999999999</v>
      </c>
      <c r="K17" s="102">
        <v>66.346999999999994</v>
      </c>
      <c r="L17" s="102">
        <v>60.173000000000002</v>
      </c>
      <c r="M17" s="102">
        <v>66.174000000000007</v>
      </c>
      <c r="N17" s="110">
        <f t="shared" si="0"/>
        <v>774.11300000000006</v>
      </c>
      <c r="P17" s="191"/>
    </row>
    <row r="18" spans="1:16">
      <c r="A18" s="101" t="s">
        <v>25</v>
      </c>
      <c r="B18" s="102">
        <v>244.4859999999999</v>
      </c>
      <c r="C18" s="102">
        <v>60.203999999999994</v>
      </c>
      <c r="D18" s="102">
        <v>217.61</v>
      </c>
      <c r="E18" s="102">
        <v>252.60800000000003</v>
      </c>
      <c r="F18" s="102">
        <v>236.846</v>
      </c>
      <c r="G18" s="102">
        <v>243.46200000000002</v>
      </c>
      <c r="H18" s="102">
        <v>253.92999999999998</v>
      </c>
      <c r="I18" s="102">
        <v>251.536</v>
      </c>
      <c r="J18" s="102">
        <v>260.036</v>
      </c>
      <c r="K18" s="102">
        <v>257.12099999999998</v>
      </c>
      <c r="L18" s="102">
        <v>235.64600000000004</v>
      </c>
      <c r="M18" s="102">
        <v>258.59699999999998</v>
      </c>
      <c r="N18" s="110">
        <f t="shared" si="0"/>
        <v>2772.0820000000003</v>
      </c>
    </row>
    <row r="19" spans="1:16">
      <c r="A19" s="101" t="s">
        <v>99</v>
      </c>
      <c r="B19" s="102">
        <v>1093.7060000000001</v>
      </c>
      <c r="C19" s="102">
        <v>1155.403</v>
      </c>
      <c r="D19" s="102">
        <v>884.31299999999999</v>
      </c>
      <c r="E19" s="102">
        <v>907.58200000000011</v>
      </c>
      <c r="F19" s="102">
        <v>1230.4180000000001</v>
      </c>
      <c r="G19" s="102">
        <v>1228.018</v>
      </c>
      <c r="H19" s="102">
        <v>1272.95</v>
      </c>
      <c r="I19" s="102">
        <v>1333.3920000000001</v>
      </c>
      <c r="J19" s="102">
        <v>1403.143</v>
      </c>
      <c r="K19" s="102">
        <v>1436.19</v>
      </c>
      <c r="L19" s="102">
        <v>1296.51</v>
      </c>
      <c r="M19" s="102">
        <v>1415.4610000000005</v>
      </c>
      <c r="N19" s="110">
        <f t="shared" si="0"/>
        <v>14657.086000000003</v>
      </c>
    </row>
    <row r="20" spans="1:16">
      <c r="A20" s="115" t="s">
        <v>27</v>
      </c>
      <c r="B20" s="110">
        <f t="shared" ref="B20:N20" si="1">SUM(B11:B19)</f>
        <v>6146.8090000000002</v>
      </c>
      <c r="C20" s="110">
        <f t="shared" si="1"/>
        <v>6065.2150000000001</v>
      </c>
      <c r="D20" s="110">
        <f t="shared" si="1"/>
        <v>5955.7660000000005</v>
      </c>
      <c r="E20" s="110">
        <f t="shared" si="1"/>
        <v>5856.6040000000012</v>
      </c>
      <c r="F20" s="110">
        <f t="shared" si="1"/>
        <v>5590.8649999999998</v>
      </c>
      <c r="G20" s="110">
        <f t="shared" si="1"/>
        <v>5290.2790000000005</v>
      </c>
      <c r="H20" s="110">
        <f t="shared" si="1"/>
        <v>5400.259</v>
      </c>
      <c r="I20" s="110">
        <f t="shared" si="1"/>
        <v>6013.3980000000001</v>
      </c>
      <c r="J20" s="110">
        <f t="shared" si="1"/>
        <v>6696.48</v>
      </c>
      <c r="K20" s="110">
        <f t="shared" si="1"/>
        <v>6527.723</v>
      </c>
      <c r="L20" s="110">
        <f t="shared" si="1"/>
        <v>5672.905999999999</v>
      </c>
      <c r="M20" s="110">
        <f t="shared" si="1"/>
        <v>6348.0650000000005</v>
      </c>
      <c r="N20" s="110">
        <f t="shared" si="1"/>
        <v>71564.368999999992</v>
      </c>
    </row>
    <row r="21" spans="1:16">
      <c r="A21" s="101"/>
      <c r="B21" s="102"/>
      <c r="C21" s="102"/>
      <c r="D21" s="102"/>
      <c r="E21" s="102"/>
      <c r="F21" s="102"/>
      <c r="G21" s="102"/>
      <c r="H21" s="102"/>
      <c r="I21" s="102"/>
      <c r="J21" s="110"/>
      <c r="K21" s="110"/>
      <c r="L21" s="110"/>
      <c r="M21" s="110"/>
      <c r="N21" s="110"/>
    </row>
    <row r="22" spans="1:16">
      <c r="A22" s="115" t="s">
        <v>102</v>
      </c>
      <c r="B22" s="102"/>
      <c r="C22" s="102"/>
      <c r="D22" s="102"/>
      <c r="E22" s="102"/>
      <c r="F22" s="102"/>
      <c r="G22" s="102"/>
      <c r="H22" s="102"/>
      <c r="I22" s="102"/>
      <c r="J22" s="110"/>
      <c r="K22" s="110"/>
      <c r="L22" s="110"/>
      <c r="M22" s="110"/>
      <c r="N22" s="110"/>
    </row>
    <row r="23" spans="1:16">
      <c r="A23" s="101" t="s">
        <v>37</v>
      </c>
      <c r="B23" s="102">
        <v>867.1208329000001</v>
      </c>
      <c r="C23" s="102">
        <v>1032.6769790000001</v>
      </c>
      <c r="D23" s="102">
        <v>930.19466599999998</v>
      </c>
      <c r="E23" s="102">
        <v>879.99293499999999</v>
      </c>
      <c r="F23" s="102">
        <v>680.62608100000011</v>
      </c>
      <c r="G23" s="102">
        <v>537.82805599999995</v>
      </c>
      <c r="H23" s="102">
        <v>704.52457500000003</v>
      </c>
      <c r="I23" s="102">
        <v>901.68117400000006</v>
      </c>
      <c r="J23" s="102">
        <v>945.45558300000005</v>
      </c>
      <c r="K23" s="102">
        <v>1002.417248</v>
      </c>
      <c r="L23" s="102">
        <v>950.91376200000013</v>
      </c>
      <c r="M23" s="102">
        <v>1020.278587</v>
      </c>
      <c r="N23" s="110">
        <f>SUM(B23:M23)</f>
        <v>10453.710478900002</v>
      </c>
    </row>
    <row r="24" spans="1:16">
      <c r="A24" s="101" t="s">
        <v>38</v>
      </c>
      <c r="B24" s="102">
        <v>0</v>
      </c>
      <c r="C24" s="102">
        <v>0</v>
      </c>
      <c r="D24" s="102">
        <v>0</v>
      </c>
      <c r="E24" s="102">
        <v>0</v>
      </c>
      <c r="F24" s="102">
        <v>0</v>
      </c>
      <c r="G24" s="102">
        <v>0</v>
      </c>
      <c r="H24" s="102">
        <v>0</v>
      </c>
      <c r="I24" s="102">
        <v>0</v>
      </c>
      <c r="J24" s="102">
        <v>0</v>
      </c>
      <c r="K24" s="102">
        <v>0</v>
      </c>
      <c r="L24" s="102">
        <v>0</v>
      </c>
      <c r="M24" s="102">
        <v>0</v>
      </c>
      <c r="N24" s="110">
        <f>SUM(B24:M24)</f>
        <v>0</v>
      </c>
    </row>
    <row r="25" spans="1:16">
      <c r="A25" s="115" t="s">
        <v>39</v>
      </c>
      <c r="B25" s="110">
        <f t="shared" ref="B25:H25" si="2">SUM(B23:B24)</f>
        <v>867.1208329000001</v>
      </c>
      <c r="C25" s="110">
        <f t="shared" si="2"/>
        <v>1032.6769790000001</v>
      </c>
      <c r="D25" s="110">
        <f t="shared" si="2"/>
        <v>930.19466599999998</v>
      </c>
      <c r="E25" s="110">
        <f t="shared" si="2"/>
        <v>879.99293499999999</v>
      </c>
      <c r="F25" s="110">
        <f t="shared" si="2"/>
        <v>680.62608100000011</v>
      </c>
      <c r="G25" s="110">
        <f t="shared" si="2"/>
        <v>537.82805599999995</v>
      </c>
      <c r="H25" s="110">
        <f t="shared" si="2"/>
        <v>704.52457500000003</v>
      </c>
      <c r="I25" s="110">
        <f>SUM(I23:I24)</f>
        <v>901.68117400000006</v>
      </c>
      <c r="J25" s="110">
        <f>SUM(J23:J24)</f>
        <v>945.45558300000005</v>
      </c>
      <c r="K25" s="110">
        <f>SUM(K23:K24)</f>
        <v>1002.417248</v>
      </c>
      <c r="L25" s="110">
        <f>SUM(L23:L24)</f>
        <v>950.91376200000013</v>
      </c>
      <c r="M25" s="110">
        <f>SUM(M23:M24)</f>
        <v>1020.278587</v>
      </c>
      <c r="N25" s="110">
        <f>SUM(B25:M25)</f>
        <v>10453.710478900002</v>
      </c>
    </row>
    <row r="26" spans="1:16">
      <c r="A26" s="101"/>
      <c r="B26" s="102"/>
      <c r="C26" s="102"/>
      <c r="D26" s="102"/>
      <c r="E26" s="102"/>
      <c r="F26" s="102"/>
      <c r="G26" s="102"/>
      <c r="H26" s="102"/>
      <c r="I26" s="102"/>
      <c r="J26" s="110"/>
      <c r="K26" s="110"/>
      <c r="L26" s="110"/>
      <c r="M26" s="110"/>
      <c r="N26" s="110"/>
    </row>
    <row r="27" spans="1:16">
      <c r="A27" s="115" t="s">
        <v>101</v>
      </c>
      <c r="B27" s="102"/>
      <c r="C27" s="102"/>
      <c r="D27" s="102"/>
      <c r="E27" s="102"/>
      <c r="F27" s="102"/>
      <c r="G27" s="102"/>
      <c r="H27" s="102"/>
      <c r="I27" s="102"/>
      <c r="J27" s="110"/>
      <c r="K27" s="110"/>
      <c r="L27" s="110"/>
      <c r="M27" s="110"/>
      <c r="N27" s="110"/>
    </row>
    <row r="28" spans="1:16">
      <c r="A28" s="101" t="s">
        <v>33</v>
      </c>
      <c r="B28" s="102">
        <v>1357.7673679971997</v>
      </c>
      <c r="C28" s="102">
        <v>1284.2995650028001</v>
      </c>
      <c r="D28" s="102">
        <v>1120.8573573000001</v>
      </c>
      <c r="E28" s="102">
        <v>1364.2860537000001</v>
      </c>
      <c r="F28" s="102">
        <v>1360.3837242454001</v>
      </c>
      <c r="G28" s="102">
        <v>1354.5215255092999</v>
      </c>
      <c r="H28" s="102">
        <v>1418.9420267464</v>
      </c>
      <c r="I28" s="102">
        <v>954.99109949889998</v>
      </c>
      <c r="J28" s="102">
        <v>1243.6454642547999</v>
      </c>
      <c r="K28" s="102">
        <v>1390.5467200000001</v>
      </c>
      <c r="L28" s="102">
        <v>1279.2567980000001</v>
      </c>
      <c r="M28" s="102">
        <v>1399.5869760999999</v>
      </c>
      <c r="N28" s="110">
        <f>SUM(B28:M28)</f>
        <v>15529.0846783548</v>
      </c>
    </row>
    <row r="29" spans="1:16">
      <c r="A29" s="101" t="s">
        <v>65</v>
      </c>
      <c r="B29" s="102">
        <v>1424.937003</v>
      </c>
      <c r="C29" s="102">
        <v>1507.95</v>
      </c>
      <c r="D29" s="102">
        <v>1482.2570000000001</v>
      </c>
      <c r="E29" s="102">
        <v>1549.8500000000001</v>
      </c>
      <c r="F29" s="102">
        <v>1506.63113</v>
      </c>
      <c r="G29" s="102">
        <v>1307.6379509999999</v>
      </c>
      <c r="H29" s="102">
        <v>989.32399999999996</v>
      </c>
      <c r="I29" s="102">
        <v>1355.6840790000001</v>
      </c>
      <c r="J29" s="102">
        <v>1567.1399999999999</v>
      </c>
      <c r="K29" s="102">
        <v>1522.8759999999997</v>
      </c>
      <c r="L29" s="102">
        <v>1421.8399999999997</v>
      </c>
      <c r="M29" s="102">
        <v>1556.9949999999999</v>
      </c>
      <c r="N29" s="110">
        <f>SUM(B29:M29)</f>
        <v>17193.122163</v>
      </c>
    </row>
    <row r="30" spans="1:16">
      <c r="A30" s="101" t="s">
        <v>130</v>
      </c>
      <c r="B30" s="102">
        <v>660.12702299999989</v>
      </c>
      <c r="C30" s="102">
        <v>661.46309899999994</v>
      </c>
      <c r="D30" s="102">
        <v>678.21011999999996</v>
      </c>
      <c r="E30" s="102">
        <v>685.05809399999998</v>
      </c>
      <c r="F30" s="102">
        <v>531.94384200000002</v>
      </c>
      <c r="G30" s="102">
        <v>489.352509</v>
      </c>
      <c r="H30" s="102">
        <v>685.98644999999999</v>
      </c>
      <c r="I30" s="102">
        <v>661.83064999999999</v>
      </c>
      <c r="J30" s="102">
        <v>686.51384899999994</v>
      </c>
      <c r="K30" s="102">
        <v>687.71158799999989</v>
      </c>
      <c r="L30" s="102">
        <v>616.16779199999996</v>
      </c>
      <c r="M30" s="102">
        <v>664.49007800000004</v>
      </c>
      <c r="N30" s="110">
        <f>SUM(B30:M30)</f>
        <v>7708.8550939999996</v>
      </c>
    </row>
    <row r="31" spans="1:16">
      <c r="A31" s="115" t="s">
        <v>35</v>
      </c>
      <c r="B31" s="110">
        <f t="shared" ref="B31:M31" si="3">SUM(B28:B30)</f>
        <v>3442.8313939971995</v>
      </c>
      <c r="C31" s="110">
        <f t="shared" si="3"/>
        <v>3453.7126640028005</v>
      </c>
      <c r="D31" s="110">
        <f t="shared" si="3"/>
        <v>3281.3244772999997</v>
      </c>
      <c r="E31" s="110">
        <f t="shared" si="3"/>
        <v>3599.1941477</v>
      </c>
      <c r="F31" s="110">
        <f t="shared" si="3"/>
        <v>3398.9586962454</v>
      </c>
      <c r="G31" s="110">
        <f t="shared" si="3"/>
        <v>3151.5119855092994</v>
      </c>
      <c r="H31" s="110">
        <f t="shared" si="3"/>
        <v>3094.2524767463997</v>
      </c>
      <c r="I31" s="110">
        <f t="shared" si="3"/>
        <v>2972.5058284989</v>
      </c>
      <c r="J31" s="110">
        <f t="shared" si="3"/>
        <v>3497.2993132547999</v>
      </c>
      <c r="K31" s="110">
        <f t="shared" si="3"/>
        <v>3601.1343079999997</v>
      </c>
      <c r="L31" s="110">
        <f t="shared" si="3"/>
        <v>3317.2645899999998</v>
      </c>
      <c r="M31" s="110">
        <f t="shared" si="3"/>
        <v>3621.0720541000001</v>
      </c>
      <c r="N31" s="110">
        <f>SUM(B31:M31)</f>
        <v>40431.061935354795</v>
      </c>
    </row>
    <row r="32" spans="1:16">
      <c r="A32" s="101" t="s">
        <v>66</v>
      </c>
      <c r="B32" s="110">
        <v>241.34369031900005</v>
      </c>
      <c r="C32" s="110">
        <v>276.87300246699999</v>
      </c>
      <c r="D32" s="110">
        <v>245.900607772</v>
      </c>
      <c r="E32" s="110">
        <v>217.67252397200002</v>
      </c>
      <c r="F32" s="110">
        <v>216.23790003400001</v>
      </c>
      <c r="G32" s="110">
        <v>249.504874263</v>
      </c>
      <c r="H32" s="110">
        <v>272.03402985499997</v>
      </c>
      <c r="I32" s="110">
        <v>261.05313250500001</v>
      </c>
      <c r="J32" s="110">
        <v>275.39614956700001</v>
      </c>
      <c r="K32" s="110">
        <v>287.59629756100003</v>
      </c>
      <c r="L32" s="110">
        <v>248.82233583800001</v>
      </c>
      <c r="M32" s="110">
        <v>273.15626535800004</v>
      </c>
      <c r="N32" s="110">
        <f>SUM(B32:M32)</f>
        <v>3065.5908095110003</v>
      </c>
    </row>
    <row r="34" spans="1:16">
      <c r="A34" s="115" t="s">
        <v>103</v>
      </c>
      <c r="B34" s="102"/>
      <c r="C34" s="102"/>
      <c r="D34" s="102"/>
      <c r="E34" s="102"/>
      <c r="F34" s="102"/>
      <c r="G34" s="102"/>
      <c r="H34" s="102"/>
      <c r="I34" s="102"/>
      <c r="J34" s="110"/>
      <c r="K34" s="110"/>
      <c r="L34" s="110"/>
      <c r="M34" s="110"/>
      <c r="N34" s="110"/>
    </row>
    <row r="35" spans="1:16">
      <c r="A35" s="101" t="s">
        <v>41</v>
      </c>
      <c r="B35" s="102">
        <v>4.9729754879999994</v>
      </c>
      <c r="C35" s="102">
        <v>6.0295063839999994</v>
      </c>
      <c r="D35" s="102">
        <v>5.983502638</v>
      </c>
      <c r="E35" s="102">
        <v>5.983502638</v>
      </c>
      <c r="F35" s="102">
        <v>6.1447554879999933</v>
      </c>
      <c r="G35" s="102">
        <v>5.83</v>
      </c>
      <c r="H35" s="102">
        <v>6.119346685</v>
      </c>
      <c r="I35" s="102">
        <v>7.4162455740000039</v>
      </c>
      <c r="J35" s="102">
        <v>7.6949999999999994</v>
      </c>
      <c r="K35" s="102">
        <v>7.0139999999999993</v>
      </c>
      <c r="L35" s="102">
        <v>5.2320000000000002</v>
      </c>
      <c r="M35" s="102">
        <v>5.3390000000000004</v>
      </c>
      <c r="N35" s="110">
        <f>SUM(B35:M35)</f>
        <v>73.759834894999997</v>
      </c>
    </row>
    <row r="36" spans="1:16">
      <c r="A36" s="101" t="s">
        <v>42</v>
      </c>
      <c r="B36" s="102">
        <v>1312.1558150000001</v>
      </c>
      <c r="C36" s="102">
        <v>1593.248409692</v>
      </c>
      <c r="D36" s="102">
        <v>1474.344842</v>
      </c>
      <c r="E36" s="102">
        <v>1478.1382409999999</v>
      </c>
      <c r="F36" s="102">
        <v>1496.5125190000001</v>
      </c>
      <c r="G36" s="102">
        <v>1464.168183</v>
      </c>
      <c r="H36" s="102">
        <v>1486.1065779999999</v>
      </c>
      <c r="I36" s="102">
        <v>1506.8482249999997</v>
      </c>
      <c r="J36" s="102">
        <v>1548.436618</v>
      </c>
      <c r="K36" s="102">
        <v>1576.5601959999999</v>
      </c>
      <c r="L36" s="102">
        <v>1461.2086330000002</v>
      </c>
      <c r="M36" s="102">
        <v>1645.851993</v>
      </c>
      <c r="N36" s="110">
        <f>SUM(B36:M36)</f>
        <v>18043.580252691998</v>
      </c>
    </row>
    <row r="37" spans="1:16">
      <c r="A37" s="115" t="s">
        <v>43</v>
      </c>
      <c r="B37" s="110">
        <f t="shared" ref="B37:H37" si="4">SUM(B35:B36)</f>
        <v>1317.128790488</v>
      </c>
      <c r="C37" s="110">
        <f t="shared" si="4"/>
        <v>1599.2779160759999</v>
      </c>
      <c r="D37" s="110">
        <f t="shared" si="4"/>
        <v>1480.3283446379999</v>
      </c>
      <c r="E37" s="110">
        <f t="shared" si="4"/>
        <v>1484.1217436379998</v>
      </c>
      <c r="F37" s="110">
        <f t="shared" si="4"/>
        <v>1502.6572744880002</v>
      </c>
      <c r="G37" s="110">
        <f t="shared" si="4"/>
        <v>1469.9981829999999</v>
      </c>
      <c r="H37" s="110">
        <f t="shared" si="4"/>
        <v>1492.2259246849999</v>
      </c>
      <c r="I37" s="110">
        <f>SUM(I35:I36)</f>
        <v>1514.2644705739997</v>
      </c>
      <c r="J37" s="110">
        <f>SUM(J35:J36)</f>
        <v>1556.1316179999999</v>
      </c>
      <c r="K37" s="110">
        <f>SUM(K35:K36)</f>
        <v>1583.5741959999998</v>
      </c>
      <c r="L37" s="110">
        <f>SUM(L35:L36)</f>
        <v>1466.4406330000002</v>
      </c>
      <c r="M37" s="110">
        <f>SUM(M35:M36)</f>
        <v>1651.1909929999999</v>
      </c>
      <c r="N37" s="110">
        <f>SUM(B37:M37)</f>
        <v>18117.340087587003</v>
      </c>
    </row>
    <row r="38" spans="1:16">
      <c r="A38" s="101"/>
      <c r="B38" s="102"/>
      <c r="C38" s="102"/>
      <c r="D38" s="102"/>
      <c r="E38" s="102"/>
      <c r="F38" s="102"/>
      <c r="G38" s="102"/>
      <c r="H38" s="102"/>
      <c r="I38" s="102"/>
      <c r="J38" s="110"/>
      <c r="K38" s="110"/>
      <c r="L38" s="110"/>
      <c r="M38" s="110"/>
      <c r="N38" s="110"/>
    </row>
    <row r="39" spans="1:16">
      <c r="A39" s="115" t="s">
        <v>119</v>
      </c>
      <c r="B39" s="102"/>
      <c r="C39" s="102"/>
      <c r="D39" s="102"/>
      <c r="E39" s="102"/>
      <c r="F39" s="102"/>
      <c r="G39" s="102"/>
      <c r="H39" s="102"/>
      <c r="I39" s="102"/>
      <c r="J39" s="110"/>
      <c r="K39" s="110"/>
      <c r="L39" s="110"/>
      <c r="M39" s="110"/>
      <c r="N39" s="110"/>
    </row>
    <row r="40" spans="1:16">
      <c r="A40" s="101" t="s">
        <v>29</v>
      </c>
      <c r="B40" s="102">
        <v>519.565293</v>
      </c>
      <c r="C40" s="102">
        <v>816.25992999999994</v>
      </c>
      <c r="D40" s="102">
        <v>884.82616699999994</v>
      </c>
      <c r="E40" s="102">
        <v>865.32818799999995</v>
      </c>
      <c r="F40" s="102">
        <v>741.85353500000008</v>
      </c>
      <c r="G40" s="102">
        <v>868.49655199999995</v>
      </c>
      <c r="H40" s="102">
        <v>878.54452399999991</v>
      </c>
      <c r="I40" s="102">
        <v>878.42317700000001</v>
      </c>
      <c r="J40" s="102">
        <v>901.78185400000007</v>
      </c>
      <c r="K40" s="102">
        <v>883.28362200000004</v>
      </c>
      <c r="L40" s="102">
        <v>806.06407000000002</v>
      </c>
      <c r="M40" s="102">
        <v>913.37033900000006</v>
      </c>
      <c r="N40" s="110">
        <f>SUM(B40:M40)</f>
        <v>9957.797251</v>
      </c>
    </row>
    <row r="41" spans="1:16">
      <c r="A41" s="101" t="s">
        <v>30</v>
      </c>
      <c r="B41" s="102">
        <v>900.04067999999995</v>
      </c>
      <c r="C41" s="102">
        <v>1354.3162169999998</v>
      </c>
      <c r="D41" s="102">
        <v>1290.2100969999999</v>
      </c>
      <c r="E41" s="102">
        <v>1309.603535</v>
      </c>
      <c r="F41" s="102">
        <v>1252.0051369999999</v>
      </c>
      <c r="G41" s="102">
        <v>1263.1292989999999</v>
      </c>
      <c r="H41" s="102">
        <v>1184.6579160000001</v>
      </c>
      <c r="I41" s="102">
        <v>1269.1054490000001</v>
      </c>
      <c r="J41" s="102">
        <v>1357.3178370000001</v>
      </c>
      <c r="K41" s="102">
        <v>1422.95173</v>
      </c>
      <c r="L41" s="102">
        <v>1308.330074</v>
      </c>
      <c r="M41" s="102">
        <v>1398.163802</v>
      </c>
      <c r="N41" s="110">
        <f>SUM(B41:M41)</f>
        <v>15309.831773000002</v>
      </c>
    </row>
    <row r="42" spans="1:16">
      <c r="A42" s="101" t="s">
        <v>72</v>
      </c>
      <c r="B42" s="102">
        <v>1082.5519999999999</v>
      </c>
      <c r="C42" s="102">
        <v>1110.92</v>
      </c>
      <c r="D42" s="102">
        <v>1076.5219999998999</v>
      </c>
      <c r="E42" s="102">
        <v>1111.3679999999999</v>
      </c>
      <c r="F42" s="102">
        <v>1098.9760000000001</v>
      </c>
      <c r="G42" s="102">
        <v>1060.8530000000001</v>
      </c>
      <c r="H42" s="102">
        <v>1101.8510000000001</v>
      </c>
      <c r="I42" s="102">
        <v>1070.7809999999999</v>
      </c>
      <c r="J42" s="102">
        <v>1109.5219999999999</v>
      </c>
      <c r="K42" s="102">
        <v>1115.9349999999999</v>
      </c>
      <c r="L42" s="102">
        <v>999.69500000000005</v>
      </c>
      <c r="M42" s="102">
        <v>1105.8316558515803</v>
      </c>
      <c r="N42" s="214">
        <f>SUM(B42:M42)</f>
        <v>13044.806655851478</v>
      </c>
      <c r="P42" s="212">
        <v>13044.806655851478</v>
      </c>
    </row>
    <row r="43" spans="1:16">
      <c r="A43" s="115" t="s">
        <v>31</v>
      </c>
      <c r="B43" s="110">
        <f t="shared" ref="B43:H43" si="5">SUM(B40:B42)</f>
        <v>2502.1579729999999</v>
      </c>
      <c r="C43" s="110">
        <f t="shared" si="5"/>
        <v>3281.4961469999998</v>
      </c>
      <c r="D43" s="110">
        <f t="shared" si="5"/>
        <v>3251.5582639998997</v>
      </c>
      <c r="E43" s="110">
        <f t="shared" si="5"/>
        <v>3286.2997229999996</v>
      </c>
      <c r="F43" s="110">
        <f t="shared" si="5"/>
        <v>3092.834672</v>
      </c>
      <c r="G43" s="110">
        <f t="shared" si="5"/>
        <v>3192.4788509999998</v>
      </c>
      <c r="H43" s="110">
        <f t="shared" si="5"/>
        <v>3165.0534400000001</v>
      </c>
      <c r="I43" s="110">
        <f>SUM(I40:I42)</f>
        <v>3218.3096260000002</v>
      </c>
      <c r="J43" s="110">
        <f>SUM(J40:J42)</f>
        <v>3368.6216910000003</v>
      </c>
      <c r="K43" s="110">
        <f>SUM(K40:K42)</f>
        <v>3422.1703520000001</v>
      </c>
      <c r="L43" s="110">
        <f>SUM(L40:L42)</f>
        <v>3114.089144</v>
      </c>
      <c r="M43" s="110">
        <f>SUM(M40:M42)</f>
        <v>3417.3657968515804</v>
      </c>
      <c r="N43" s="110">
        <f>SUM(B43:M43)</f>
        <v>38312.435679851478</v>
      </c>
    </row>
    <row r="44" spans="1:16">
      <c r="A44" s="101"/>
      <c r="B44" s="102"/>
      <c r="C44" s="102"/>
      <c r="D44" s="102"/>
      <c r="E44" s="102"/>
      <c r="G44" s="102"/>
      <c r="H44" s="102"/>
      <c r="I44" s="102"/>
      <c r="J44" s="110"/>
      <c r="K44" s="110"/>
      <c r="L44" s="110"/>
      <c r="M44" s="110"/>
      <c r="N44" s="110"/>
    </row>
    <row r="45" spans="1:16">
      <c r="A45" s="115" t="s">
        <v>44</v>
      </c>
      <c r="B45" s="102"/>
      <c r="C45" s="102"/>
      <c r="D45" s="102"/>
      <c r="E45" s="102"/>
      <c r="F45" s="102"/>
      <c r="G45" s="102"/>
      <c r="H45" s="102"/>
      <c r="I45" s="102"/>
      <c r="J45" s="110"/>
      <c r="K45" s="110"/>
      <c r="L45" s="110"/>
      <c r="M45" s="110"/>
      <c r="N45" s="110"/>
    </row>
    <row r="46" spans="1:16">
      <c r="A46" s="101" t="s">
        <v>45</v>
      </c>
      <c r="B46" s="102">
        <v>2884.8105110000001</v>
      </c>
      <c r="C46" s="102">
        <v>2932.6956390000005</v>
      </c>
      <c r="D46" s="102">
        <v>2832.0781919999999</v>
      </c>
      <c r="E46" s="102">
        <v>2985.8246300000001</v>
      </c>
      <c r="F46" s="102">
        <v>2921.4630910000001</v>
      </c>
      <c r="G46" s="102">
        <v>2936.4629260000002</v>
      </c>
      <c r="H46" s="102">
        <v>2842.8004820000006</v>
      </c>
      <c r="I46" s="102">
        <v>2846.4255060000005</v>
      </c>
      <c r="J46" s="102">
        <v>3058.7522139999996</v>
      </c>
      <c r="K46" s="102">
        <v>3031.6821910000003</v>
      </c>
      <c r="L46" s="102">
        <v>2763.1451389999997</v>
      </c>
      <c r="M46" s="102">
        <v>2954.352112</v>
      </c>
      <c r="N46" s="110">
        <f>SUM(B46:M46)</f>
        <v>34990.492633000002</v>
      </c>
    </row>
    <row r="47" spans="1:16">
      <c r="A47" s="101" t="s">
        <v>46</v>
      </c>
      <c r="B47" s="102">
        <v>2516.4371740000001</v>
      </c>
      <c r="C47" s="102">
        <v>2657.3979110000005</v>
      </c>
      <c r="D47" s="102">
        <v>2627.2446049999999</v>
      </c>
      <c r="E47" s="102">
        <v>2512.4710760000003</v>
      </c>
      <c r="F47" s="102">
        <v>2478.928371</v>
      </c>
      <c r="G47" s="102">
        <v>2697.4291280000002</v>
      </c>
      <c r="H47" s="102">
        <v>2586.7315630000003</v>
      </c>
      <c r="I47" s="102">
        <v>2390.5332859999999</v>
      </c>
      <c r="J47" s="102">
        <v>2723.8280570000002</v>
      </c>
      <c r="K47" s="102">
        <v>2577.8787299999999</v>
      </c>
      <c r="L47" s="102">
        <v>2555.6918940000005</v>
      </c>
      <c r="M47" s="102">
        <v>2867</v>
      </c>
      <c r="N47" s="110">
        <f>SUM(B47:M47)</f>
        <v>31191.571794999996</v>
      </c>
      <c r="P47" s="100">
        <f>+N47/1000</f>
        <v>31.191571794999994</v>
      </c>
    </row>
    <row r="48" spans="1:16">
      <c r="A48" s="115" t="s">
        <v>47</v>
      </c>
      <c r="B48" s="110">
        <f>SUM(B46:B47)</f>
        <v>5401.2476850000003</v>
      </c>
      <c r="C48" s="110">
        <f t="shared" ref="C48:H48" si="6">SUM(C46:C47)</f>
        <v>5590.0935500000014</v>
      </c>
      <c r="D48" s="110">
        <f t="shared" si="6"/>
        <v>5459.3227969999998</v>
      </c>
      <c r="E48" s="110">
        <f t="shared" si="6"/>
        <v>5498.2957060000008</v>
      </c>
      <c r="F48" s="110">
        <f t="shared" si="6"/>
        <v>5400.3914619999996</v>
      </c>
      <c r="G48" s="110">
        <f>SUM(G46:G47)</f>
        <v>5633.8920539999999</v>
      </c>
      <c r="H48" s="110">
        <f t="shared" si="6"/>
        <v>5429.5320450000008</v>
      </c>
      <c r="I48" s="110">
        <f>SUM(I46:I47)</f>
        <v>5236.9587920000004</v>
      </c>
      <c r="J48" s="110">
        <f>SUM(J46:J47)</f>
        <v>5782.5802709999998</v>
      </c>
      <c r="K48" s="110">
        <f>SUM(K46:K47)</f>
        <v>5609.5609210000002</v>
      </c>
      <c r="L48" s="110">
        <f>SUM(L46:L47)</f>
        <v>5318.8370329999998</v>
      </c>
      <c r="M48" s="110">
        <f>SUM(M46:M47)</f>
        <v>5821.3521120000005</v>
      </c>
      <c r="N48" s="110">
        <f>SUM(B48:M48)</f>
        <v>66182.064428000012</v>
      </c>
    </row>
    <row r="49" spans="1:16">
      <c r="A49" s="101"/>
      <c r="B49" s="102"/>
      <c r="C49" s="102"/>
      <c r="D49" s="102"/>
      <c r="E49" s="102"/>
      <c r="F49" s="102"/>
      <c r="G49" s="102"/>
      <c r="H49" s="102"/>
      <c r="I49" s="102"/>
      <c r="J49" s="110"/>
      <c r="K49" s="110"/>
      <c r="L49" s="110"/>
      <c r="M49" s="110"/>
      <c r="N49" s="110"/>
    </row>
    <row r="50" spans="1:16">
      <c r="A50" s="115" t="s">
        <v>115</v>
      </c>
      <c r="B50" s="110">
        <v>1698.6148221850005</v>
      </c>
      <c r="C50" s="110">
        <v>1727.4771073669999</v>
      </c>
      <c r="D50" s="110">
        <v>1598.3206371600018</v>
      </c>
      <c r="E50" s="110">
        <v>1763.8461038959997</v>
      </c>
      <c r="F50" s="110">
        <v>1752.8784349999987</v>
      </c>
      <c r="G50" s="110">
        <v>1677.1037019699997</v>
      </c>
      <c r="H50" s="110">
        <v>1745.6487620309999</v>
      </c>
      <c r="I50" s="110">
        <v>1695.0020099499998</v>
      </c>
      <c r="J50" s="110">
        <v>1748.16485048</v>
      </c>
      <c r="K50" s="110">
        <v>1744.4976574</v>
      </c>
      <c r="L50" s="110">
        <v>1584.1348923109999</v>
      </c>
      <c r="M50" s="110">
        <v>1751.0654345779999</v>
      </c>
      <c r="N50" s="110">
        <f>SUM(B50:M50)</f>
        <v>20486.754414327996</v>
      </c>
    </row>
    <row r="51" spans="1:16">
      <c r="A51" s="101"/>
      <c r="B51" s="102"/>
      <c r="C51" s="102"/>
      <c r="D51" s="102"/>
      <c r="E51" s="102"/>
      <c r="F51" s="102"/>
      <c r="G51" s="102"/>
      <c r="H51" s="102"/>
      <c r="I51" s="102"/>
      <c r="J51" s="110"/>
      <c r="K51" s="110"/>
      <c r="L51" s="110"/>
      <c r="M51" s="110"/>
      <c r="N51" s="110"/>
    </row>
    <row r="52" spans="1:16">
      <c r="A52" s="117" t="s">
        <v>49</v>
      </c>
      <c r="B52" s="138">
        <f t="shared" ref="B52:M52" si="7">+B50+B48+B43+B37+B32+B31+B25+B20</f>
        <v>21617.254187889201</v>
      </c>
      <c r="C52" s="138">
        <f t="shared" si="7"/>
        <v>23026.822365912802</v>
      </c>
      <c r="D52" s="138">
        <f t="shared" si="7"/>
        <v>22202.715793869898</v>
      </c>
      <c r="E52" s="138">
        <f t="shared" si="7"/>
        <v>22586.026883206003</v>
      </c>
      <c r="F52" s="138">
        <f t="shared" si="7"/>
        <v>21635.449520767397</v>
      </c>
      <c r="G52" s="138">
        <f t="shared" si="7"/>
        <v>21202.5967057423</v>
      </c>
      <c r="H52" s="138">
        <f t="shared" si="7"/>
        <v>21303.5302533174</v>
      </c>
      <c r="I52" s="138">
        <f t="shared" si="7"/>
        <v>21813.173033527899</v>
      </c>
      <c r="J52" s="138">
        <f t="shared" si="7"/>
        <v>23870.129476301798</v>
      </c>
      <c r="K52" s="138">
        <f t="shared" si="7"/>
        <v>23778.673979961</v>
      </c>
      <c r="L52" s="138">
        <f t="shared" si="7"/>
        <v>21673.408390148998</v>
      </c>
      <c r="M52" s="138">
        <f t="shared" si="7"/>
        <v>23903.546242887584</v>
      </c>
      <c r="N52" s="110">
        <f>SUM(B52:M52)</f>
        <v>268613.32683353231</v>
      </c>
      <c r="P52" s="100">
        <v>268613.32683353225</v>
      </c>
    </row>
    <row r="53" spans="1:16">
      <c r="A53" s="247" t="s">
        <v>68</v>
      </c>
      <c r="B53" s="248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9"/>
    </row>
    <row r="54" spans="1:16" s="155" customFormat="1">
      <c r="A54" s="250" t="s">
        <v>127</v>
      </c>
      <c r="B54" s="251"/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2"/>
    </row>
    <row r="55" spans="1:16">
      <c r="C55" s="165"/>
      <c r="D55" s="140"/>
      <c r="E55" s="140"/>
      <c r="F55" s="140"/>
      <c r="G55" s="140"/>
      <c r="H55" s="140"/>
      <c r="I55" s="140"/>
      <c r="J55" s="140"/>
      <c r="K55" s="141"/>
    </row>
  </sheetData>
  <mergeCells count="6">
    <mergeCell ref="A2:B6"/>
    <mergeCell ref="C2:H2"/>
    <mergeCell ref="I7:N7"/>
    <mergeCell ref="A8:N8"/>
    <mergeCell ref="A53:N53"/>
    <mergeCell ref="A54:N54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5837-E1C9-4494-83E4-E7680D701D28}">
  <dimension ref="A2:P55"/>
  <sheetViews>
    <sheetView topLeftCell="A8" workbookViewId="0">
      <selection activeCell="D28" sqref="D28"/>
    </sheetView>
  </sheetViews>
  <sheetFormatPr defaultRowHeight="15"/>
  <cols>
    <col min="1" max="1" width="37.42578125" style="100" customWidth="1"/>
    <col min="2" max="10" width="10.85546875" style="100" customWidth="1"/>
    <col min="11" max="13" width="8.5703125" style="108" bestFit="1" customWidth="1"/>
    <col min="14" max="14" width="12.7109375" style="108" customWidth="1"/>
    <col min="15" max="16384" width="9.140625" style="100"/>
  </cols>
  <sheetData>
    <row r="2" spans="1:14" ht="20.25">
      <c r="A2" s="225"/>
      <c r="B2" s="225"/>
      <c r="C2" s="242" t="s">
        <v>0</v>
      </c>
      <c r="D2" s="242"/>
      <c r="E2" s="242"/>
      <c r="F2" s="242"/>
      <c r="G2" s="242"/>
      <c r="H2" s="242"/>
    </row>
    <row r="3" spans="1:14">
      <c r="A3" s="225"/>
      <c r="B3" s="225"/>
    </row>
    <row r="4" spans="1:14">
      <c r="A4" s="225"/>
      <c r="B4" s="225"/>
    </row>
    <row r="5" spans="1:14">
      <c r="A5" s="225"/>
      <c r="B5" s="225"/>
    </row>
    <row r="6" spans="1:14">
      <c r="A6" s="225"/>
      <c r="B6" s="225"/>
    </row>
    <row r="7" spans="1:14" ht="18.75">
      <c r="A7" s="163" t="s">
        <v>128</v>
      </c>
      <c r="B7" s="164"/>
      <c r="C7" s="164"/>
      <c r="D7" s="164"/>
      <c r="E7" s="164"/>
      <c r="F7" s="164"/>
      <c r="G7" s="164"/>
      <c r="H7" s="164"/>
      <c r="I7" s="243" t="s">
        <v>2</v>
      </c>
      <c r="J7" s="243"/>
      <c r="K7" s="243"/>
      <c r="L7" s="243"/>
      <c r="M7" s="243"/>
      <c r="N7" s="243"/>
    </row>
    <row r="8" spans="1:14" ht="19.5" customHeight="1">
      <c r="A8" s="244" t="s">
        <v>3</v>
      </c>
      <c r="B8" s="245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6"/>
    </row>
    <row r="9" spans="1:14" ht="18.75">
      <c r="A9" s="112" t="s">
        <v>51</v>
      </c>
      <c r="B9" s="113" t="s">
        <v>52</v>
      </c>
      <c r="C9" s="114" t="s">
        <v>53</v>
      </c>
      <c r="D9" s="114" t="s">
        <v>54</v>
      </c>
      <c r="E9" s="114" t="s">
        <v>55</v>
      </c>
      <c r="F9" s="114" t="s">
        <v>56</v>
      </c>
      <c r="G9" s="114" t="s">
        <v>98</v>
      </c>
      <c r="H9" s="114" t="s">
        <v>58</v>
      </c>
      <c r="I9" s="114" t="s">
        <v>59</v>
      </c>
      <c r="J9" s="114" t="s">
        <v>60</v>
      </c>
      <c r="K9" s="134" t="s">
        <v>61</v>
      </c>
      <c r="L9" s="134" t="s">
        <v>62</v>
      </c>
      <c r="M9" s="134" t="s">
        <v>63</v>
      </c>
      <c r="N9" s="134" t="s">
        <v>64</v>
      </c>
    </row>
    <row r="10" spans="1:14">
      <c r="A10" s="115" t="s">
        <v>17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2"/>
      <c r="L10" s="102"/>
      <c r="M10" s="102"/>
      <c r="N10" s="102"/>
    </row>
    <row r="11" spans="1:14">
      <c r="A11" s="101" t="s">
        <v>22</v>
      </c>
      <c r="B11" s="102">
        <v>546.51100000000008</v>
      </c>
      <c r="C11" s="102">
        <v>579.5630000000001</v>
      </c>
      <c r="D11" s="102">
        <v>491.92200000000003</v>
      </c>
      <c r="E11" s="102">
        <v>559.56399999999996</v>
      </c>
      <c r="F11" s="102">
        <v>590.76700000000005</v>
      </c>
      <c r="G11" s="102">
        <v>529.029</v>
      </c>
      <c r="H11" s="102">
        <v>503.428</v>
      </c>
      <c r="I11" s="102">
        <v>553.58200000000011</v>
      </c>
      <c r="J11" s="102">
        <v>597.97099999999989</v>
      </c>
      <c r="K11" s="102">
        <v>517.57199999999989</v>
      </c>
      <c r="L11" s="102">
        <v>541.97299999999996</v>
      </c>
      <c r="M11" s="102">
        <v>605.81600000000003</v>
      </c>
      <c r="N11" s="110">
        <f>SUM(B11:M11)</f>
        <v>6617.6979999999994</v>
      </c>
    </row>
    <row r="12" spans="1:14">
      <c r="A12" s="101" t="s">
        <v>18</v>
      </c>
      <c r="B12" s="102">
        <v>1121.5739999999998</v>
      </c>
      <c r="C12" s="102">
        <v>1330.3910000000001</v>
      </c>
      <c r="D12" s="102">
        <v>1275.124</v>
      </c>
      <c r="E12" s="102">
        <v>1330.9270000000001</v>
      </c>
      <c r="F12" s="102">
        <v>1262.8509999999999</v>
      </c>
      <c r="G12" s="102">
        <v>1169.6379999999999</v>
      </c>
      <c r="H12" s="102">
        <v>1279.385</v>
      </c>
      <c r="I12" s="102">
        <v>1290.1249999999998</v>
      </c>
      <c r="J12" s="102">
        <v>1330.241</v>
      </c>
      <c r="K12" s="102">
        <v>1191.5729999999999</v>
      </c>
      <c r="L12" s="102">
        <v>1249.9389999999999</v>
      </c>
      <c r="M12" s="102">
        <v>1370.42</v>
      </c>
      <c r="N12" s="110">
        <f t="shared" ref="N12:N19" si="0">SUM(B12:M12)</f>
        <v>15202.188</v>
      </c>
    </row>
    <row r="13" spans="1:14">
      <c r="A13" s="101" t="s">
        <v>21</v>
      </c>
      <c r="B13" s="102">
        <v>706.28300000000002</v>
      </c>
      <c r="C13" s="102">
        <v>720.07999999999981</v>
      </c>
      <c r="D13" s="102">
        <v>691.68399999999997</v>
      </c>
      <c r="E13" s="102">
        <v>677.19300000000021</v>
      </c>
      <c r="F13" s="102">
        <v>689.54699999999991</v>
      </c>
      <c r="G13" s="102">
        <v>325.10300000000001</v>
      </c>
      <c r="H13" s="102">
        <v>674.35200000000009</v>
      </c>
      <c r="I13" s="102">
        <v>692.39300000000014</v>
      </c>
      <c r="J13" s="102">
        <v>726.87500000000011</v>
      </c>
      <c r="K13" s="102">
        <v>742.01600000000019</v>
      </c>
      <c r="L13" s="102">
        <v>678.34400000000005</v>
      </c>
      <c r="M13" s="102">
        <v>735.72</v>
      </c>
      <c r="N13" s="110">
        <f t="shared" si="0"/>
        <v>8059.5900000000011</v>
      </c>
    </row>
    <row r="14" spans="1:14">
      <c r="A14" s="101" t="s">
        <v>19</v>
      </c>
      <c r="B14" s="102">
        <v>836.70900000000006</v>
      </c>
      <c r="C14" s="102">
        <v>833.51800000000003</v>
      </c>
      <c r="D14" s="102">
        <v>808.15899999999999</v>
      </c>
      <c r="E14" s="102">
        <v>436.214</v>
      </c>
      <c r="F14" s="102">
        <v>680.97799999999995</v>
      </c>
      <c r="G14" s="102">
        <v>721.7890000000001</v>
      </c>
      <c r="H14" s="102">
        <v>852.62200000000007</v>
      </c>
      <c r="I14" s="102">
        <v>864.51900000000012</v>
      </c>
      <c r="J14" s="102">
        <v>815.41300000000001</v>
      </c>
      <c r="K14" s="102">
        <v>646.12700000000007</v>
      </c>
      <c r="L14" s="102">
        <v>793.50900000000001</v>
      </c>
      <c r="M14" s="102">
        <v>900.97100000000012</v>
      </c>
      <c r="N14" s="110">
        <f t="shared" si="0"/>
        <v>9190.5280000000002</v>
      </c>
    </row>
    <row r="15" spans="1:14">
      <c r="A15" s="101" t="s">
        <v>20</v>
      </c>
      <c r="B15" s="102">
        <v>1251.74</v>
      </c>
      <c r="C15" s="102">
        <v>1263.1529999999998</v>
      </c>
      <c r="D15" s="102">
        <v>1277.6210000000001</v>
      </c>
      <c r="E15" s="102">
        <v>1220.0899999999999</v>
      </c>
      <c r="F15" s="102">
        <v>1230.3080000000002</v>
      </c>
      <c r="G15" s="102">
        <v>1194.4749999999999</v>
      </c>
      <c r="H15" s="102">
        <v>1300.1790000000001</v>
      </c>
      <c r="I15" s="102">
        <v>1308.4870000000001</v>
      </c>
      <c r="J15" s="102">
        <v>1246.4830000000002</v>
      </c>
      <c r="K15" s="102">
        <v>1213.8680000000002</v>
      </c>
      <c r="L15" s="102">
        <v>693.24700000000007</v>
      </c>
      <c r="M15" s="102">
        <v>1105.087</v>
      </c>
      <c r="N15" s="110">
        <f t="shared" si="0"/>
        <v>14304.737999999999</v>
      </c>
    </row>
    <row r="16" spans="1:14">
      <c r="A16" s="101" t="s">
        <v>23</v>
      </c>
      <c r="B16" s="102">
        <v>93.997</v>
      </c>
      <c r="C16" s="102">
        <v>96.304000000000002</v>
      </c>
      <c r="D16" s="102">
        <v>92.45</v>
      </c>
      <c r="E16" s="102">
        <v>94.728999999999999</v>
      </c>
      <c r="F16" s="102">
        <v>94.24799999999999</v>
      </c>
      <c r="G16" s="102">
        <v>90.034999999999997</v>
      </c>
      <c r="H16" s="102">
        <v>0.13600000000000001</v>
      </c>
      <c r="I16" s="102">
        <v>33.126000000000005</v>
      </c>
      <c r="J16" s="102">
        <v>97.183000000000007</v>
      </c>
      <c r="K16" s="102">
        <v>95.741</v>
      </c>
      <c r="L16" s="102">
        <v>99.024999999999991</v>
      </c>
      <c r="M16" s="102">
        <v>113.51300000000001</v>
      </c>
      <c r="N16" s="110">
        <f t="shared" si="0"/>
        <v>1000.4869999999999</v>
      </c>
    </row>
    <row r="17" spans="1:16">
      <c r="A17" s="101" t="s">
        <v>24</v>
      </c>
      <c r="B17" s="102">
        <v>43.905000000000001</v>
      </c>
      <c r="C17" s="102">
        <v>64.39800000000001</v>
      </c>
      <c r="D17" s="102">
        <v>62.730000000000004</v>
      </c>
      <c r="E17" s="102">
        <v>63.470999999999997</v>
      </c>
      <c r="F17" s="102">
        <v>19.809999999999999</v>
      </c>
      <c r="G17" s="102">
        <v>51.972999999999999</v>
      </c>
      <c r="H17" s="102">
        <v>66.2</v>
      </c>
      <c r="I17" s="102">
        <v>66.296999999999997</v>
      </c>
      <c r="J17" s="102">
        <v>69.082000000000008</v>
      </c>
      <c r="K17" s="102">
        <v>68.879000000000005</v>
      </c>
      <c r="L17" s="102">
        <v>64.694000000000003</v>
      </c>
      <c r="M17" s="102">
        <v>68.771000000000001</v>
      </c>
      <c r="N17" s="110">
        <f t="shared" si="0"/>
        <v>710.20999999999992</v>
      </c>
      <c r="P17" s="191"/>
    </row>
    <row r="18" spans="1:16">
      <c r="A18" s="101" t="s">
        <v>25</v>
      </c>
      <c r="B18" s="102">
        <v>249.59900000000002</v>
      </c>
      <c r="C18" s="102">
        <v>257.89600000000002</v>
      </c>
      <c r="D18" s="102">
        <v>251.25200000000001</v>
      </c>
      <c r="E18" s="102">
        <v>236.572</v>
      </c>
      <c r="F18" s="102">
        <v>254.941</v>
      </c>
      <c r="G18" s="102">
        <v>251.375</v>
      </c>
      <c r="H18" s="102">
        <v>257.96899999999999</v>
      </c>
      <c r="I18" s="102">
        <v>249.58599999999998</v>
      </c>
      <c r="J18" s="102">
        <v>255.87</v>
      </c>
      <c r="K18" s="102">
        <v>251.93199999999999</v>
      </c>
      <c r="L18" s="102">
        <v>238.89699999999999</v>
      </c>
      <c r="M18" s="102">
        <v>252.97500000000002</v>
      </c>
      <c r="N18" s="110">
        <f t="shared" si="0"/>
        <v>3008.8639999999996</v>
      </c>
    </row>
    <row r="19" spans="1:16">
      <c r="A19" s="101" t="s">
        <v>99</v>
      </c>
      <c r="B19" s="102">
        <v>1187.3219999999999</v>
      </c>
      <c r="C19" s="102">
        <v>1272.1010000000001</v>
      </c>
      <c r="D19" s="102">
        <v>1346.431</v>
      </c>
      <c r="E19" s="102">
        <v>1394.489</v>
      </c>
      <c r="F19" s="102">
        <v>1429.0079999999998</v>
      </c>
      <c r="G19" s="102">
        <v>1172.8539999999998</v>
      </c>
      <c r="H19" s="102">
        <v>722.07600000000002</v>
      </c>
      <c r="I19" s="102">
        <v>1260.9419999999998</v>
      </c>
      <c r="J19" s="102">
        <v>1387.383</v>
      </c>
      <c r="K19" s="102">
        <v>1363.85</v>
      </c>
      <c r="L19" s="102">
        <v>1271.3019999999999</v>
      </c>
      <c r="M19" s="102">
        <v>1405.6740000000002</v>
      </c>
      <c r="N19" s="110">
        <f t="shared" si="0"/>
        <v>15213.431999999999</v>
      </c>
    </row>
    <row r="20" spans="1:16">
      <c r="A20" s="115" t="s">
        <v>27</v>
      </c>
      <c r="B20" s="110">
        <f t="shared" ref="B20:N20" si="1">SUM(B11:B19)</f>
        <v>6037.64</v>
      </c>
      <c r="C20" s="110">
        <f t="shared" si="1"/>
        <v>6417.4040000000005</v>
      </c>
      <c r="D20" s="110">
        <f t="shared" si="1"/>
        <v>6297.3729999999996</v>
      </c>
      <c r="E20" s="110">
        <f t="shared" si="1"/>
        <v>6013.2489999999998</v>
      </c>
      <c r="F20" s="110">
        <f t="shared" si="1"/>
        <v>6252.4579999999996</v>
      </c>
      <c r="G20" s="110">
        <f t="shared" si="1"/>
        <v>5506.2709999999988</v>
      </c>
      <c r="H20" s="110">
        <f t="shared" si="1"/>
        <v>5656.3470000000007</v>
      </c>
      <c r="I20" s="110">
        <f t="shared" si="1"/>
        <v>6319.0569999999998</v>
      </c>
      <c r="J20" s="110">
        <f t="shared" si="1"/>
        <v>6526.5010000000002</v>
      </c>
      <c r="K20" s="110">
        <f t="shared" si="1"/>
        <v>6091.5579999999991</v>
      </c>
      <c r="L20" s="110">
        <f t="shared" si="1"/>
        <v>5630.9299999999994</v>
      </c>
      <c r="M20" s="110">
        <f t="shared" si="1"/>
        <v>6558.9470000000001</v>
      </c>
      <c r="N20" s="110">
        <f t="shared" si="1"/>
        <v>73307.735000000001</v>
      </c>
    </row>
    <row r="21" spans="1:16">
      <c r="A21" s="101"/>
      <c r="B21" s="102"/>
      <c r="C21" s="102"/>
      <c r="D21" s="102"/>
      <c r="E21" s="102"/>
      <c r="F21" s="102"/>
      <c r="G21" s="102"/>
      <c r="H21" s="102"/>
      <c r="I21" s="102"/>
      <c r="J21" s="110"/>
      <c r="K21" s="110"/>
      <c r="L21" s="110"/>
      <c r="M21" s="110"/>
      <c r="N21" s="110"/>
    </row>
    <row r="22" spans="1:16">
      <c r="A22" s="115" t="s">
        <v>102</v>
      </c>
      <c r="B22" s="102"/>
      <c r="C22" s="102"/>
      <c r="D22" s="102"/>
      <c r="E22" s="102"/>
      <c r="F22" s="102"/>
      <c r="G22" s="102"/>
      <c r="H22" s="102"/>
      <c r="I22" s="102"/>
      <c r="J22" s="110"/>
      <c r="K22" s="110"/>
      <c r="L22" s="110"/>
      <c r="M22" s="110"/>
      <c r="N22" s="110"/>
    </row>
    <row r="23" spans="1:16">
      <c r="A23" s="101" t="s">
        <v>37</v>
      </c>
      <c r="B23" s="102">
        <v>919.51964599999997</v>
      </c>
      <c r="C23" s="102">
        <v>941.28226579999978</v>
      </c>
      <c r="D23" s="102">
        <v>816.58032520000006</v>
      </c>
      <c r="E23" s="102">
        <v>1040.154736</v>
      </c>
      <c r="F23" s="102">
        <v>1000.3787740000001</v>
      </c>
      <c r="G23" s="102">
        <v>1007.9708559999999</v>
      </c>
      <c r="H23" s="102">
        <v>1007.2305859999999</v>
      </c>
      <c r="I23" s="102">
        <v>1001.0374930000002</v>
      </c>
      <c r="J23" s="102">
        <v>820.50097899999992</v>
      </c>
      <c r="K23" s="102">
        <v>1001.2366530000002</v>
      </c>
      <c r="L23" s="102">
        <v>1013.926244</v>
      </c>
      <c r="M23" s="102">
        <v>1072.3076080000001</v>
      </c>
      <c r="N23" s="110">
        <f>SUM(B23:M23)</f>
        <v>11642.126165999998</v>
      </c>
    </row>
    <row r="24" spans="1:16">
      <c r="A24" s="101" t="s">
        <v>38</v>
      </c>
      <c r="B24" s="102">
        <v>0</v>
      </c>
      <c r="C24" s="102">
        <v>0</v>
      </c>
      <c r="D24" s="102">
        <v>0</v>
      </c>
      <c r="E24" s="102">
        <v>0</v>
      </c>
      <c r="F24" s="102">
        <v>0</v>
      </c>
      <c r="G24" s="102">
        <v>0</v>
      </c>
      <c r="H24" s="102">
        <v>0</v>
      </c>
      <c r="I24" s="102">
        <v>0</v>
      </c>
      <c r="J24" s="102">
        <v>0</v>
      </c>
      <c r="K24" s="102">
        <v>0</v>
      </c>
      <c r="L24" s="102">
        <v>0</v>
      </c>
      <c r="M24" s="102">
        <v>0</v>
      </c>
      <c r="N24" s="110">
        <f>SUM(B24:M24)</f>
        <v>0</v>
      </c>
    </row>
    <row r="25" spans="1:16">
      <c r="A25" s="115" t="s">
        <v>39</v>
      </c>
      <c r="B25" s="110">
        <f t="shared" ref="B25:H25" si="2">SUM(B23:B24)</f>
        <v>919.51964599999997</v>
      </c>
      <c r="C25" s="110">
        <f t="shared" si="2"/>
        <v>941.28226579999978</v>
      </c>
      <c r="D25" s="110">
        <f t="shared" si="2"/>
        <v>816.58032520000006</v>
      </c>
      <c r="E25" s="110">
        <f t="shared" si="2"/>
        <v>1040.154736</v>
      </c>
      <c r="F25" s="110">
        <f t="shared" si="2"/>
        <v>1000.3787740000001</v>
      </c>
      <c r="G25" s="110">
        <f t="shared" si="2"/>
        <v>1007.9708559999999</v>
      </c>
      <c r="H25" s="110">
        <f t="shared" si="2"/>
        <v>1007.2305859999999</v>
      </c>
      <c r="I25" s="110">
        <f>SUM(I23:I24)</f>
        <v>1001.0374930000002</v>
      </c>
      <c r="J25" s="110">
        <f>SUM(J23:J24)</f>
        <v>820.50097899999992</v>
      </c>
      <c r="K25" s="110">
        <f>SUM(K23:K24)</f>
        <v>1001.2366530000002</v>
      </c>
      <c r="L25" s="110">
        <f>SUM(L23:L24)</f>
        <v>1013.926244</v>
      </c>
      <c r="M25" s="110">
        <f>SUM(M23:M24)</f>
        <v>1072.3076080000001</v>
      </c>
      <c r="N25" s="110">
        <f>SUM(B25:M25)</f>
        <v>11642.126165999998</v>
      </c>
    </row>
    <row r="26" spans="1:16">
      <c r="A26" s="101"/>
      <c r="B26" s="102"/>
      <c r="C26" s="102"/>
      <c r="D26" s="102"/>
      <c r="E26" s="102"/>
      <c r="F26" s="102"/>
      <c r="G26" s="102"/>
      <c r="H26" s="102"/>
      <c r="I26" s="102"/>
      <c r="J26" s="110"/>
      <c r="K26" s="110"/>
      <c r="L26" s="110"/>
      <c r="M26" s="110"/>
      <c r="N26" s="110"/>
    </row>
    <row r="27" spans="1:16">
      <c r="A27" s="115" t="s">
        <v>101</v>
      </c>
      <c r="B27" s="102"/>
      <c r="C27" s="102"/>
      <c r="D27" s="102"/>
      <c r="E27" s="102"/>
      <c r="F27" s="102"/>
      <c r="G27" s="102"/>
      <c r="H27" s="102"/>
      <c r="I27" s="102"/>
      <c r="J27" s="110"/>
      <c r="K27" s="110"/>
      <c r="L27" s="110"/>
      <c r="M27" s="110"/>
      <c r="N27" s="110"/>
    </row>
    <row r="28" spans="1:16">
      <c r="A28" s="101" t="s">
        <v>33</v>
      </c>
      <c r="B28" s="102">
        <v>1258.5680599999998</v>
      </c>
      <c r="C28" s="102">
        <v>1332.1494190000001</v>
      </c>
      <c r="D28" s="102">
        <v>1367.8604220000002</v>
      </c>
      <c r="E28" s="102">
        <v>1367.990074</v>
      </c>
      <c r="F28" s="102">
        <v>1386.5437647546321</v>
      </c>
      <c r="G28" s="102">
        <v>1354.5264981683581</v>
      </c>
      <c r="H28" s="102">
        <v>740.45859200000007</v>
      </c>
      <c r="I28" s="102">
        <v>927.63206100000002</v>
      </c>
      <c r="J28" s="102">
        <v>1390.336812</v>
      </c>
      <c r="K28" s="102">
        <v>1156.9030380000002</v>
      </c>
      <c r="L28" s="102">
        <v>1307.1529037518558</v>
      </c>
      <c r="M28" s="102">
        <v>1461.5419750000001</v>
      </c>
      <c r="N28" s="110">
        <f>SUM(B28:M28)</f>
        <v>15051.663619674848</v>
      </c>
    </row>
    <row r="29" spans="1:16">
      <c r="A29" s="101" t="s">
        <v>65</v>
      </c>
      <c r="B29" s="102">
        <v>1384.5584610000003</v>
      </c>
      <c r="C29" s="102">
        <v>1464.3429839999997</v>
      </c>
      <c r="D29" s="102">
        <v>1467.8115829999999</v>
      </c>
      <c r="E29" s="102">
        <v>1389.2882659999996</v>
      </c>
      <c r="F29" s="102">
        <v>1345.901666</v>
      </c>
      <c r="G29" s="102">
        <v>1299.3585229999999</v>
      </c>
      <c r="H29" s="102">
        <v>1543.8252780000003</v>
      </c>
      <c r="I29" s="102">
        <v>1506.9807049999999</v>
      </c>
      <c r="J29" s="102">
        <v>1563.3872370000001</v>
      </c>
      <c r="K29" s="102">
        <v>1588.2150250000002</v>
      </c>
      <c r="L29" s="102">
        <v>1203.8005700000001</v>
      </c>
      <c r="M29" s="102">
        <v>1556.7726339999997</v>
      </c>
      <c r="N29" s="110">
        <f>SUM(B29:M29)</f>
        <v>17314.242931999997</v>
      </c>
    </row>
    <row r="30" spans="1:16">
      <c r="A30" s="101" t="s">
        <v>130</v>
      </c>
      <c r="B30" s="102">
        <v>593.53419399999996</v>
      </c>
      <c r="C30" s="102">
        <v>660.475956</v>
      </c>
      <c r="D30" s="102">
        <v>579.83204999999998</v>
      </c>
      <c r="E30" s="102">
        <v>48.042253999999993</v>
      </c>
      <c r="F30" s="102">
        <v>485.23946999999998</v>
      </c>
      <c r="G30" s="102">
        <v>680.198262</v>
      </c>
      <c r="H30" s="102">
        <v>710.06436600000006</v>
      </c>
      <c r="I30" s="102">
        <v>682.46119499999998</v>
      </c>
      <c r="J30" s="102">
        <v>666.15554199999997</v>
      </c>
      <c r="K30" s="102">
        <v>731.35794899999996</v>
      </c>
      <c r="L30" s="102">
        <v>663.63172700000007</v>
      </c>
      <c r="M30" s="102">
        <v>631.73834999999997</v>
      </c>
      <c r="N30" s="110">
        <f>SUM(B30:M30)</f>
        <v>7132.731315</v>
      </c>
    </row>
    <row r="31" spans="1:16">
      <c r="A31" s="115" t="s">
        <v>35</v>
      </c>
      <c r="B31" s="110">
        <f t="shared" ref="B31:M31" si="3">SUM(B28:B30)</f>
        <v>3236.660715</v>
      </c>
      <c r="C31" s="110">
        <f t="shared" si="3"/>
        <v>3456.9683589999995</v>
      </c>
      <c r="D31" s="110">
        <f t="shared" si="3"/>
        <v>3415.5040550000003</v>
      </c>
      <c r="E31" s="110">
        <f t="shared" si="3"/>
        <v>2805.3205939999998</v>
      </c>
      <c r="F31" s="110">
        <f t="shared" si="3"/>
        <v>3217.6849007546321</v>
      </c>
      <c r="G31" s="110">
        <f t="shared" si="3"/>
        <v>3334.0832831683579</v>
      </c>
      <c r="H31" s="110">
        <f t="shared" si="3"/>
        <v>2994.3482360000003</v>
      </c>
      <c r="I31" s="110">
        <f t="shared" si="3"/>
        <v>3117.0739610000001</v>
      </c>
      <c r="J31" s="110">
        <f t="shared" si="3"/>
        <v>3619.8795910000003</v>
      </c>
      <c r="K31" s="110">
        <f t="shared" si="3"/>
        <v>3476.4760120000001</v>
      </c>
      <c r="L31" s="110">
        <f t="shared" si="3"/>
        <v>3174.5852007518561</v>
      </c>
      <c r="M31" s="110">
        <f t="shared" si="3"/>
        <v>3650.0529590000001</v>
      </c>
      <c r="N31" s="110">
        <f>SUM(B31:M31)</f>
        <v>39498.63786667485</v>
      </c>
    </row>
    <row r="32" spans="1:16">
      <c r="A32" s="101" t="s">
        <v>66</v>
      </c>
      <c r="B32" s="110">
        <v>-3.0120999996142929E-5</v>
      </c>
      <c r="C32" s="110">
        <v>61.302009452999997</v>
      </c>
      <c r="D32" s="110">
        <v>8.2987979009999702</v>
      </c>
      <c r="E32" s="110">
        <v>245.10471870399999</v>
      </c>
      <c r="F32" s="110">
        <v>256.755325723</v>
      </c>
      <c r="G32" s="110">
        <v>275.94872720199999</v>
      </c>
      <c r="H32" s="110">
        <v>285.83246413900002</v>
      </c>
      <c r="I32" s="110">
        <v>280.21689252200002</v>
      </c>
      <c r="J32" s="110">
        <v>287.16653422100001</v>
      </c>
      <c r="K32" s="110">
        <v>261.67365746400003</v>
      </c>
      <c r="L32" s="110">
        <v>261.596492259</v>
      </c>
      <c r="M32" s="110">
        <v>285.77949410000002</v>
      </c>
      <c r="N32" s="110">
        <f>SUM(B32:M32)</f>
        <v>2509.6750835670005</v>
      </c>
    </row>
    <row r="34" spans="1:14">
      <c r="A34" s="115" t="s">
        <v>103</v>
      </c>
      <c r="B34" s="102"/>
      <c r="C34" s="102"/>
      <c r="D34" s="102"/>
      <c r="E34" s="102"/>
      <c r="F34" s="102"/>
      <c r="G34" s="102"/>
      <c r="H34" s="102"/>
      <c r="I34" s="102"/>
      <c r="J34" s="110"/>
      <c r="K34" s="110"/>
      <c r="L34" s="110"/>
      <c r="M34" s="110"/>
      <c r="N34" s="110"/>
    </row>
    <row r="35" spans="1:14">
      <c r="A35" s="101" t="s">
        <v>41</v>
      </c>
      <c r="B35" s="102">
        <v>6.6278589999999999</v>
      </c>
      <c r="C35" s="102">
        <v>6.3632070000000001</v>
      </c>
      <c r="D35" s="102">
        <v>5.6120799999999997</v>
      </c>
      <c r="E35" s="102">
        <v>5.3780000000000001</v>
      </c>
      <c r="F35" s="102">
        <v>5.0326840000000006</v>
      </c>
      <c r="G35" s="102">
        <v>4.1841859999999995</v>
      </c>
      <c r="H35" s="102">
        <v>4.80511</v>
      </c>
      <c r="I35" s="102">
        <v>4.6035469999999998</v>
      </c>
      <c r="J35" s="102">
        <v>5.7037269999999998</v>
      </c>
      <c r="K35" s="102">
        <v>6.0092780000000001</v>
      </c>
      <c r="L35" s="102">
        <v>5.6421850000000004</v>
      </c>
      <c r="M35" s="102">
        <v>5.4473450000000003</v>
      </c>
      <c r="N35" s="110">
        <f>SUM(B35:M35)</f>
        <v>65.409207999999992</v>
      </c>
    </row>
    <row r="36" spans="1:14">
      <c r="A36" s="101" t="s">
        <v>42</v>
      </c>
      <c r="B36" s="102">
        <v>1468.9173269999999</v>
      </c>
      <c r="C36" s="102">
        <v>1494.1670000000001</v>
      </c>
      <c r="D36" s="102">
        <v>1452.4719239999999</v>
      </c>
      <c r="E36" s="102">
        <v>1438.501</v>
      </c>
      <c r="F36" s="102">
        <v>990.46700799999996</v>
      </c>
      <c r="G36" s="102">
        <v>764.89599999999996</v>
      </c>
      <c r="H36" s="102">
        <v>1354.5848329999999</v>
      </c>
      <c r="I36" s="102">
        <v>1499.2008860000001</v>
      </c>
      <c r="J36" s="102">
        <v>1558.2501709999999</v>
      </c>
      <c r="K36" s="102">
        <v>1527.477163</v>
      </c>
      <c r="L36" s="102">
        <v>1462.3310000000001</v>
      </c>
      <c r="M36" s="102">
        <v>1522.1714543080002</v>
      </c>
      <c r="N36" s="110">
        <f>SUM(B36:M36)</f>
        <v>16533.435766308001</v>
      </c>
    </row>
    <row r="37" spans="1:14">
      <c r="A37" s="115" t="s">
        <v>43</v>
      </c>
      <c r="B37" s="110">
        <f t="shared" ref="B37:H37" si="4">SUM(B35:B36)</f>
        <v>1475.5451859999998</v>
      </c>
      <c r="C37" s="110">
        <f t="shared" si="4"/>
        <v>1500.5302070000002</v>
      </c>
      <c r="D37" s="110">
        <f t="shared" si="4"/>
        <v>1458.084004</v>
      </c>
      <c r="E37" s="110">
        <f t="shared" si="4"/>
        <v>1443.8789999999999</v>
      </c>
      <c r="F37" s="110">
        <f t="shared" si="4"/>
        <v>995.49969199999998</v>
      </c>
      <c r="G37" s="110">
        <f t="shared" si="4"/>
        <v>769.08018599999991</v>
      </c>
      <c r="H37" s="110">
        <f t="shared" si="4"/>
        <v>1359.3899429999999</v>
      </c>
      <c r="I37" s="110">
        <f>SUM(I35:I36)</f>
        <v>1503.804433</v>
      </c>
      <c r="J37" s="110">
        <f>SUM(J35:J36)</f>
        <v>1563.953898</v>
      </c>
      <c r="K37" s="110">
        <f>SUM(K35:K36)</f>
        <v>1533.486441</v>
      </c>
      <c r="L37" s="110">
        <f>SUM(L35:L36)</f>
        <v>1467.9731850000001</v>
      </c>
      <c r="M37" s="110">
        <f>SUM(M35:M36)</f>
        <v>1527.6187993080002</v>
      </c>
      <c r="N37" s="110">
        <f>SUM(B37:M37)</f>
        <v>16598.844974308002</v>
      </c>
    </row>
    <row r="38" spans="1:14">
      <c r="A38" s="101"/>
      <c r="B38" s="102"/>
      <c r="C38" s="102"/>
      <c r="D38" s="102"/>
      <c r="E38" s="102"/>
      <c r="F38" s="102"/>
      <c r="G38" s="102"/>
      <c r="H38" s="102"/>
      <c r="I38" s="102"/>
      <c r="J38" s="110"/>
      <c r="K38" s="110"/>
      <c r="L38" s="110"/>
      <c r="M38" s="110"/>
      <c r="N38" s="110"/>
    </row>
    <row r="39" spans="1:14">
      <c r="A39" s="115" t="s">
        <v>119</v>
      </c>
      <c r="B39" s="102"/>
      <c r="C39" s="102"/>
      <c r="D39" s="102"/>
      <c r="E39" s="102"/>
      <c r="F39" s="102"/>
      <c r="G39" s="102"/>
      <c r="H39" s="102"/>
      <c r="I39" s="102"/>
      <c r="J39" s="110"/>
      <c r="K39" s="110"/>
      <c r="L39" s="110"/>
      <c r="M39" s="110"/>
      <c r="N39" s="110"/>
    </row>
    <row r="40" spans="1:14">
      <c r="A40" s="101" t="s">
        <v>29</v>
      </c>
      <c r="B40" s="102">
        <v>837.11218599999984</v>
      </c>
      <c r="C40" s="102">
        <v>790.75760300000002</v>
      </c>
      <c r="D40" s="102">
        <v>809.84896000000003</v>
      </c>
      <c r="E40" s="102">
        <v>892.92642599999999</v>
      </c>
      <c r="F40" s="102">
        <v>785.24376500000017</v>
      </c>
      <c r="G40" s="102">
        <v>846.74918700000001</v>
      </c>
      <c r="H40" s="102">
        <v>898.00609800000007</v>
      </c>
      <c r="I40" s="102">
        <v>858.19043800000009</v>
      </c>
      <c r="J40" s="102">
        <v>842.76384299999995</v>
      </c>
      <c r="K40" s="102">
        <v>853.94691399999999</v>
      </c>
      <c r="L40" s="102">
        <v>679.64581099999987</v>
      </c>
      <c r="M40" s="102">
        <v>544.60547799999995</v>
      </c>
      <c r="N40" s="110">
        <f>SUM(B40:M40)</f>
        <v>9639.7967089999984</v>
      </c>
    </row>
    <row r="41" spans="1:14">
      <c r="A41" s="101" t="s">
        <v>30</v>
      </c>
      <c r="B41" s="102">
        <v>844.744867</v>
      </c>
      <c r="C41" s="102">
        <v>1066.1159169999999</v>
      </c>
      <c r="D41" s="102">
        <v>1049.8029530000001</v>
      </c>
      <c r="E41" s="102">
        <v>1108.6856860000003</v>
      </c>
      <c r="F41" s="102">
        <v>1104.9889989999999</v>
      </c>
      <c r="G41" s="102">
        <v>1013.1681309999999</v>
      </c>
      <c r="H41" s="102">
        <v>1010.061466</v>
      </c>
      <c r="I41" s="102">
        <v>826.44583200000011</v>
      </c>
      <c r="J41" s="102">
        <v>907.85425299999997</v>
      </c>
      <c r="K41" s="102">
        <v>1180.3597119999999</v>
      </c>
      <c r="L41" s="102">
        <v>1254.0021080000001</v>
      </c>
      <c r="M41" s="102">
        <v>1322.5238320000001</v>
      </c>
      <c r="N41" s="110">
        <f>SUM(B41:M41)</f>
        <v>12688.753756</v>
      </c>
    </row>
    <row r="42" spans="1:14">
      <c r="A42" s="101" t="s">
        <v>72</v>
      </c>
      <c r="B42" s="102">
        <v>1073.0989999999999</v>
      </c>
      <c r="C42" s="102">
        <v>1101.057</v>
      </c>
      <c r="D42" s="102">
        <v>1062.3679999999999</v>
      </c>
      <c r="E42" s="102">
        <v>1102.1210000000001</v>
      </c>
      <c r="F42" s="102">
        <v>1106.1479999999999</v>
      </c>
      <c r="G42" s="102">
        <v>1074.6500000000001</v>
      </c>
      <c r="H42" s="102">
        <v>1104.277</v>
      </c>
      <c r="I42" s="102">
        <v>1074.422</v>
      </c>
      <c r="J42" s="102">
        <v>1109.9479999999999</v>
      </c>
      <c r="K42" s="102">
        <v>851.84500000000003</v>
      </c>
      <c r="L42" s="102">
        <v>884.57799999999997</v>
      </c>
      <c r="M42" s="102">
        <v>1103.425</v>
      </c>
      <c r="N42" s="110">
        <f>SUM(B42:M42)</f>
        <v>12647.938</v>
      </c>
    </row>
    <row r="43" spans="1:14">
      <c r="A43" s="115" t="s">
        <v>31</v>
      </c>
      <c r="B43" s="110">
        <f t="shared" ref="B43:H43" si="5">SUM(B40:B42)</f>
        <v>2754.9560529999999</v>
      </c>
      <c r="C43" s="110">
        <f t="shared" si="5"/>
        <v>2957.9305199999999</v>
      </c>
      <c r="D43" s="110">
        <f t="shared" si="5"/>
        <v>2922.0199130000001</v>
      </c>
      <c r="E43" s="110">
        <f t="shared" si="5"/>
        <v>3103.7331120000003</v>
      </c>
      <c r="F43" s="110">
        <f t="shared" si="5"/>
        <v>2996.380764</v>
      </c>
      <c r="G43" s="110">
        <f t="shared" si="5"/>
        <v>2934.5673179999999</v>
      </c>
      <c r="H43" s="110">
        <f t="shared" si="5"/>
        <v>3012.344564</v>
      </c>
      <c r="I43" s="110">
        <f>SUM(I40:I42)</f>
        <v>2759.0582700000004</v>
      </c>
      <c r="J43" s="110">
        <f>SUM(J40:J42)</f>
        <v>2860.5660959999996</v>
      </c>
      <c r="K43" s="110">
        <f>SUM(K40:K42)</f>
        <v>2886.1516259999999</v>
      </c>
      <c r="L43" s="110">
        <f>SUM(L40:L42)</f>
        <v>2818.225919</v>
      </c>
      <c r="M43" s="110">
        <f>SUM(M40:M42)</f>
        <v>2970.55431</v>
      </c>
      <c r="N43" s="110">
        <f>SUM(B43:M43)</f>
        <v>34976.488465000002</v>
      </c>
    </row>
    <row r="44" spans="1:14">
      <c r="A44" s="101"/>
      <c r="B44" s="102"/>
      <c r="C44" s="102"/>
      <c r="D44" s="102"/>
      <c r="E44" s="102"/>
      <c r="G44" s="102"/>
      <c r="H44" s="102"/>
      <c r="I44" s="102"/>
      <c r="J44" s="110"/>
      <c r="K44" s="110"/>
      <c r="L44" s="110"/>
      <c r="M44" s="110"/>
      <c r="N44" s="110"/>
    </row>
    <row r="45" spans="1:14">
      <c r="A45" s="115" t="s">
        <v>44</v>
      </c>
      <c r="B45" s="102"/>
      <c r="C45" s="102"/>
      <c r="D45" s="102"/>
      <c r="E45" s="102"/>
      <c r="F45" s="102"/>
      <c r="G45" s="102"/>
      <c r="H45" s="102"/>
      <c r="I45" s="102"/>
      <c r="J45" s="110"/>
      <c r="K45" s="110"/>
      <c r="L45" s="110"/>
      <c r="M45" s="110"/>
      <c r="N45" s="110"/>
    </row>
    <row r="46" spans="1:14">
      <c r="A46" s="101" t="s">
        <v>45</v>
      </c>
      <c r="B46" s="102">
        <v>2841.6845580000004</v>
      </c>
      <c r="C46" s="102">
        <v>2882.3532699999996</v>
      </c>
      <c r="D46" s="102">
        <v>2783.2606179999998</v>
      </c>
      <c r="E46" s="102">
        <v>2951.3848120000002</v>
      </c>
      <c r="F46" s="102">
        <v>2939.449181</v>
      </c>
      <c r="G46" s="102">
        <v>2807.1475949999995</v>
      </c>
      <c r="H46" s="102">
        <v>2925.2687780000001</v>
      </c>
      <c r="I46" s="102">
        <v>2796.6843399999998</v>
      </c>
      <c r="J46" s="102">
        <v>2784.6544760000002</v>
      </c>
      <c r="K46" s="102">
        <v>2966.8086689999968</v>
      </c>
      <c r="L46" s="102">
        <v>2695.0935779999995</v>
      </c>
      <c r="M46" s="102">
        <v>3016.3113829999993</v>
      </c>
      <c r="N46" s="110">
        <f>SUM(B46:M46)</f>
        <v>34390.101257999995</v>
      </c>
    </row>
    <row r="47" spans="1:14">
      <c r="A47" s="101" t="s">
        <v>46</v>
      </c>
      <c r="B47" s="102">
        <v>2514.0540449999999</v>
      </c>
      <c r="C47" s="102">
        <v>2765.4240169999998</v>
      </c>
      <c r="D47" s="102">
        <v>2254.059894</v>
      </c>
      <c r="E47" s="102">
        <v>2564.6452999999997</v>
      </c>
      <c r="F47" s="102">
        <v>2538.7187949999998</v>
      </c>
      <c r="G47" s="102">
        <v>1986.695878</v>
      </c>
      <c r="H47" s="102">
        <v>1595.3219759999999</v>
      </c>
      <c r="I47" s="102">
        <v>2216.7866129999998</v>
      </c>
      <c r="J47" s="102">
        <v>2493.7849539999997</v>
      </c>
      <c r="K47" s="102">
        <v>2615.9075710000002</v>
      </c>
      <c r="L47" s="102">
        <v>2192.1303790000002</v>
      </c>
      <c r="M47" s="102">
        <v>2562.4194950000001</v>
      </c>
      <c r="N47" s="110">
        <f>SUM(B47:M47)</f>
        <v>28299.948917000002</v>
      </c>
    </row>
    <row r="48" spans="1:14">
      <c r="A48" s="115" t="s">
        <v>47</v>
      </c>
      <c r="B48" s="110">
        <f>SUM(B46:B47)</f>
        <v>5355.7386029999998</v>
      </c>
      <c r="C48" s="110">
        <f t="shared" ref="C48:H48" si="6">SUM(C46:C47)</f>
        <v>5647.777286999999</v>
      </c>
      <c r="D48" s="110">
        <f t="shared" si="6"/>
        <v>5037.3205120000002</v>
      </c>
      <c r="E48" s="110">
        <f t="shared" si="6"/>
        <v>5516.0301120000004</v>
      </c>
      <c r="F48" s="110">
        <f t="shared" si="6"/>
        <v>5478.1679759999997</v>
      </c>
      <c r="G48" s="110">
        <f>SUM(G46:G47)</f>
        <v>4793.843472999999</v>
      </c>
      <c r="H48" s="110">
        <f t="shared" si="6"/>
        <v>4520.5907539999998</v>
      </c>
      <c r="I48" s="110">
        <f>SUM(I46:I47)</f>
        <v>5013.470953</v>
      </c>
      <c r="J48" s="110">
        <f>SUM(J46:J47)</f>
        <v>5278.4394300000004</v>
      </c>
      <c r="K48" s="110">
        <f>SUM(K46:K47)</f>
        <v>5582.716239999997</v>
      </c>
      <c r="L48" s="110">
        <f>SUM(L46:L47)</f>
        <v>4887.2239570000002</v>
      </c>
      <c r="M48" s="110">
        <f>SUM(M46:M47)</f>
        <v>5578.7308779999994</v>
      </c>
      <c r="N48" s="110">
        <f>SUM(B48:M48)</f>
        <v>62690.050174999989</v>
      </c>
    </row>
    <row r="49" spans="1:14">
      <c r="A49" s="101"/>
      <c r="B49" s="102"/>
      <c r="C49" s="102"/>
      <c r="D49" s="102"/>
      <c r="E49" s="102"/>
      <c r="F49" s="102"/>
      <c r="G49" s="102"/>
      <c r="H49" s="102"/>
      <c r="I49" s="102"/>
      <c r="J49" s="110"/>
      <c r="K49" s="110"/>
      <c r="L49" s="110"/>
      <c r="M49" s="110"/>
      <c r="N49" s="110"/>
    </row>
    <row r="50" spans="1:14">
      <c r="A50" s="115" t="s">
        <v>115</v>
      </c>
      <c r="B50" s="110">
        <v>1670.564618891</v>
      </c>
      <c r="C50" s="110">
        <v>1743.3693645990008</v>
      </c>
      <c r="D50" s="110">
        <v>1583.2638939950002</v>
      </c>
      <c r="E50" s="110">
        <v>1717.6506148600004</v>
      </c>
      <c r="F50" s="110">
        <v>1727.1073767219998</v>
      </c>
      <c r="G50" s="110">
        <v>1666.7336742529994</v>
      </c>
      <c r="H50" s="110">
        <v>1726.2894849249999</v>
      </c>
      <c r="I50" s="110">
        <v>1674.599604791001</v>
      </c>
      <c r="J50" s="110">
        <v>1729.7247290689997</v>
      </c>
      <c r="K50" s="110">
        <v>1732.7476334740004</v>
      </c>
      <c r="L50" s="110">
        <v>1622.289199264</v>
      </c>
      <c r="M50" s="110">
        <v>1728.1094475500001</v>
      </c>
      <c r="N50" s="110">
        <f>SUM(B50:M50)</f>
        <v>20322.449642393003</v>
      </c>
    </row>
    <row r="51" spans="1:14">
      <c r="A51" s="101"/>
      <c r="B51" s="102"/>
      <c r="C51" s="102"/>
      <c r="D51" s="102"/>
      <c r="E51" s="102"/>
      <c r="F51" s="102"/>
      <c r="G51" s="102"/>
      <c r="H51" s="102"/>
      <c r="I51" s="102"/>
      <c r="J51" s="110"/>
      <c r="K51" s="110"/>
      <c r="L51" s="110"/>
      <c r="M51" s="110"/>
      <c r="N51" s="110"/>
    </row>
    <row r="52" spans="1:14">
      <c r="A52" s="117" t="s">
        <v>49</v>
      </c>
      <c r="B52" s="138">
        <f t="shared" ref="B52:M52" si="7">+B50+B48+B43+B37+B32+B31+B25+B20</f>
        <v>21450.624791769998</v>
      </c>
      <c r="C52" s="138">
        <f t="shared" si="7"/>
        <v>22726.564012852003</v>
      </c>
      <c r="D52" s="138">
        <f t="shared" si="7"/>
        <v>21538.444501096001</v>
      </c>
      <c r="E52" s="138">
        <f t="shared" si="7"/>
        <v>21885.121887564001</v>
      </c>
      <c r="F52" s="138">
        <f t="shared" si="7"/>
        <v>21924.432809199629</v>
      </c>
      <c r="G52" s="138">
        <f t="shared" si="7"/>
        <v>20288.498517623353</v>
      </c>
      <c r="H52" s="138">
        <f t="shared" si="7"/>
        <v>20562.373032064002</v>
      </c>
      <c r="I52" s="138">
        <f t="shared" si="7"/>
        <v>21668.318607313002</v>
      </c>
      <c r="J52" s="138">
        <f t="shared" si="7"/>
        <v>22686.732257290001</v>
      </c>
      <c r="K52" s="138">
        <f t="shared" si="7"/>
        <v>22566.046262937998</v>
      </c>
      <c r="L52" s="138">
        <f t="shared" si="7"/>
        <v>20876.750197274854</v>
      </c>
      <c r="M52" s="138">
        <f t="shared" si="7"/>
        <v>23372.100495957999</v>
      </c>
      <c r="N52" s="110">
        <f>SUM(B52:M52)</f>
        <v>261546.00737294287</v>
      </c>
    </row>
    <row r="53" spans="1:14">
      <c r="A53" s="247" t="s">
        <v>68</v>
      </c>
      <c r="B53" s="248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9"/>
    </row>
    <row r="54" spans="1:14" s="155" customFormat="1">
      <c r="A54" s="250" t="s">
        <v>127</v>
      </c>
      <c r="B54" s="251"/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2"/>
    </row>
    <row r="55" spans="1:14">
      <c r="C55" s="165"/>
      <c r="D55" s="140"/>
      <c r="E55" s="140"/>
      <c r="F55" s="140"/>
      <c r="G55" s="140"/>
      <c r="H55" s="140"/>
      <c r="I55" s="140"/>
      <c r="J55" s="140"/>
      <c r="K55" s="141"/>
    </row>
  </sheetData>
  <mergeCells count="6">
    <mergeCell ref="A2:B6"/>
    <mergeCell ref="C2:H2"/>
    <mergeCell ref="I7:N7"/>
    <mergeCell ref="A8:N8"/>
    <mergeCell ref="A53:N53"/>
    <mergeCell ref="A54:N54"/>
  </mergeCell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F167C-8CF2-4BF2-B9BC-779F32678FA2}">
  <dimension ref="A2:P55"/>
  <sheetViews>
    <sheetView topLeftCell="A9" workbookViewId="0">
      <selection activeCell="T27" sqref="T27"/>
    </sheetView>
  </sheetViews>
  <sheetFormatPr defaultRowHeight="15"/>
  <cols>
    <col min="1" max="1" width="37.42578125" style="100" customWidth="1"/>
    <col min="2" max="10" width="10.85546875" style="100" customWidth="1"/>
    <col min="11" max="13" width="8.5703125" style="108" bestFit="1" customWidth="1"/>
    <col min="14" max="14" width="12.7109375" style="108" customWidth="1"/>
    <col min="15" max="16384" width="9.140625" style="100"/>
  </cols>
  <sheetData>
    <row r="2" spans="1:14" ht="20.25">
      <c r="A2" s="225"/>
      <c r="B2" s="225"/>
      <c r="C2" s="242" t="s">
        <v>0</v>
      </c>
      <c r="D2" s="242"/>
      <c r="E2" s="242"/>
      <c r="F2" s="242"/>
      <c r="G2" s="242"/>
      <c r="H2" s="242"/>
    </row>
    <row r="3" spans="1:14">
      <c r="A3" s="225"/>
      <c r="B3" s="225"/>
    </row>
    <row r="4" spans="1:14">
      <c r="A4" s="225"/>
      <c r="B4" s="225"/>
    </row>
    <row r="5" spans="1:14">
      <c r="A5" s="225"/>
      <c r="B5" s="225"/>
    </row>
    <row r="6" spans="1:14">
      <c r="A6" s="225"/>
      <c r="B6" s="225"/>
    </row>
    <row r="7" spans="1:14" ht="18.75">
      <c r="A7" s="163" t="s">
        <v>126</v>
      </c>
      <c r="B7" s="164"/>
      <c r="C7" s="164"/>
      <c r="D7" s="164"/>
      <c r="E7" s="164"/>
      <c r="F7" s="164"/>
      <c r="G7" s="164"/>
      <c r="H7" s="164"/>
      <c r="I7" s="243" t="s">
        <v>2</v>
      </c>
      <c r="J7" s="243"/>
      <c r="K7" s="243"/>
      <c r="L7" s="243"/>
      <c r="M7" s="243"/>
      <c r="N7" s="243"/>
    </row>
    <row r="8" spans="1:14" ht="19.5" customHeight="1">
      <c r="A8" s="244" t="s">
        <v>3</v>
      </c>
      <c r="B8" s="245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6"/>
    </row>
    <row r="9" spans="1:14" ht="18.75">
      <c r="A9" s="112" t="s">
        <v>51</v>
      </c>
      <c r="B9" s="113" t="s">
        <v>52</v>
      </c>
      <c r="C9" s="114" t="s">
        <v>53</v>
      </c>
      <c r="D9" s="114" t="s">
        <v>54</v>
      </c>
      <c r="E9" s="114" t="s">
        <v>55</v>
      </c>
      <c r="F9" s="114" t="s">
        <v>56</v>
      </c>
      <c r="G9" s="114" t="s">
        <v>98</v>
      </c>
      <c r="H9" s="114" t="s">
        <v>58</v>
      </c>
      <c r="I9" s="114" t="s">
        <v>59</v>
      </c>
      <c r="J9" s="114" t="s">
        <v>60</v>
      </c>
      <c r="K9" s="134" t="s">
        <v>61</v>
      </c>
      <c r="L9" s="134" t="s">
        <v>62</v>
      </c>
      <c r="M9" s="134" t="s">
        <v>63</v>
      </c>
      <c r="N9" s="134" t="s">
        <v>64</v>
      </c>
    </row>
    <row r="10" spans="1:14">
      <c r="A10" s="115" t="s">
        <v>17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2"/>
      <c r="L10" s="102"/>
      <c r="M10" s="102"/>
      <c r="N10" s="102"/>
    </row>
    <row r="11" spans="1:14">
      <c r="A11" s="101" t="s">
        <v>22</v>
      </c>
      <c r="B11" s="102">
        <v>550.61</v>
      </c>
      <c r="C11" s="102">
        <v>584.471</v>
      </c>
      <c r="D11" s="102">
        <v>559.4799999999999</v>
      </c>
      <c r="E11" s="102">
        <v>558.61900000000003</v>
      </c>
      <c r="F11" s="102">
        <v>590.37699999999995</v>
      </c>
      <c r="G11" s="102">
        <v>544.49800000000005</v>
      </c>
      <c r="H11" s="102">
        <v>568.94399999999996</v>
      </c>
      <c r="I11" s="102">
        <v>573.34899999999993</v>
      </c>
      <c r="J11" s="102">
        <v>529.96100000000001</v>
      </c>
      <c r="K11" s="102">
        <v>602.1339999999999</v>
      </c>
      <c r="L11" s="102">
        <v>542.971</v>
      </c>
      <c r="M11" s="102">
        <v>579.97399999999993</v>
      </c>
      <c r="N11" s="110">
        <f>SUM(B11:M11)</f>
        <v>6785.3880000000008</v>
      </c>
    </row>
    <row r="12" spans="1:14">
      <c r="A12" s="101" t="s">
        <v>18</v>
      </c>
      <c r="B12" s="102">
        <v>1317.9659999999999</v>
      </c>
      <c r="C12" s="102">
        <v>1358.941</v>
      </c>
      <c r="D12" s="102">
        <v>1314.779</v>
      </c>
      <c r="E12" s="102">
        <v>1303.932</v>
      </c>
      <c r="F12" s="102">
        <v>1277.8919999999998</v>
      </c>
      <c r="G12" s="102">
        <v>1270.8720000000001</v>
      </c>
      <c r="H12" s="102">
        <v>1323.4009999999998</v>
      </c>
      <c r="I12" s="102">
        <v>1254.2549999999999</v>
      </c>
      <c r="J12" s="102">
        <v>1326.1989999999998</v>
      </c>
      <c r="K12" s="102">
        <v>1259.7529999999999</v>
      </c>
      <c r="L12" s="102">
        <v>1212.8440000000001</v>
      </c>
      <c r="M12" s="102">
        <v>1346.0650000000001</v>
      </c>
      <c r="N12" s="110">
        <f t="shared" ref="N12:N19" si="0">SUM(B12:M12)</f>
        <v>15566.898999999999</v>
      </c>
    </row>
    <row r="13" spans="1:14">
      <c r="A13" s="101" t="s">
        <v>21</v>
      </c>
      <c r="B13" s="102">
        <v>706.3889999999999</v>
      </c>
      <c r="C13" s="102">
        <v>712.40000000000009</v>
      </c>
      <c r="D13" s="102">
        <v>678.74000000000012</v>
      </c>
      <c r="E13" s="102">
        <v>722.07900000000006</v>
      </c>
      <c r="F13" s="102">
        <v>708.56899999999996</v>
      </c>
      <c r="G13" s="102">
        <v>701.73800000000006</v>
      </c>
      <c r="H13" s="102">
        <v>724.58200000000011</v>
      </c>
      <c r="I13" s="102">
        <v>708.09899999999982</v>
      </c>
      <c r="J13" s="102">
        <v>731.49300000000005</v>
      </c>
      <c r="K13" s="102">
        <v>704.66600000000005</v>
      </c>
      <c r="L13" s="102">
        <v>665.2109999999999</v>
      </c>
      <c r="M13" s="102">
        <v>742.51800000000003</v>
      </c>
      <c r="N13" s="110">
        <f t="shared" si="0"/>
        <v>8506.4840000000004</v>
      </c>
    </row>
    <row r="14" spans="1:14">
      <c r="A14" s="101" t="s">
        <v>19</v>
      </c>
      <c r="B14" s="102">
        <v>805.12799999999993</v>
      </c>
      <c r="C14" s="102">
        <v>812.95999999999992</v>
      </c>
      <c r="D14" s="102">
        <v>867.72100000000012</v>
      </c>
      <c r="E14" s="102">
        <v>714.63499999999999</v>
      </c>
      <c r="F14" s="102">
        <v>649.596</v>
      </c>
      <c r="G14" s="102">
        <v>767.40499999999997</v>
      </c>
      <c r="H14" s="102">
        <v>794.58799999999997</v>
      </c>
      <c r="I14" s="102">
        <v>836.84199999999998</v>
      </c>
      <c r="J14" s="102">
        <v>879.89</v>
      </c>
      <c r="K14" s="102">
        <v>805.75699999999995</v>
      </c>
      <c r="L14" s="102">
        <v>740.61199999999997</v>
      </c>
      <c r="M14" s="102">
        <v>897.87800000000004</v>
      </c>
      <c r="N14" s="110">
        <f t="shared" si="0"/>
        <v>9573.0119999999988</v>
      </c>
    </row>
    <row r="15" spans="1:14">
      <c r="A15" s="101" t="s">
        <v>20</v>
      </c>
      <c r="B15" s="102">
        <v>1172.269</v>
      </c>
      <c r="C15" s="102">
        <v>1252.4959999999999</v>
      </c>
      <c r="D15" s="102">
        <v>1253.8499999999999</v>
      </c>
      <c r="E15" s="102">
        <v>1154.627</v>
      </c>
      <c r="F15" s="102">
        <v>1207.0930000000001</v>
      </c>
      <c r="G15" s="102">
        <v>1153.6600000000001</v>
      </c>
      <c r="H15" s="102">
        <v>1184.838</v>
      </c>
      <c r="I15" s="102">
        <v>699.93500000000017</v>
      </c>
      <c r="J15" s="102">
        <v>890.40899999999988</v>
      </c>
      <c r="K15" s="102">
        <v>1334.6600000000003</v>
      </c>
      <c r="L15" s="102">
        <v>1208.346</v>
      </c>
      <c r="M15" s="102">
        <v>1297.9599999999998</v>
      </c>
      <c r="N15" s="110">
        <f t="shared" si="0"/>
        <v>13810.142999999998</v>
      </c>
    </row>
    <row r="16" spans="1:14">
      <c r="A16" s="101" t="s">
        <v>23</v>
      </c>
      <c r="B16" s="102">
        <v>89.858000000000004</v>
      </c>
      <c r="C16" s="102">
        <v>93.835999999999999</v>
      </c>
      <c r="D16" s="102">
        <v>92.078000000000003</v>
      </c>
      <c r="E16" s="102">
        <v>93.182999999999993</v>
      </c>
      <c r="F16" s="102">
        <v>91.191000000000003</v>
      </c>
      <c r="G16" s="102">
        <v>86.646000000000001</v>
      </c>
      <c r="H16" s="102">
        <v>93.187999999999988</v>
      </c>
      <c r="I16" s="102">
        <v>89.337999999999994</v>
      </c>
      <c r="J16" s="102">
        <v>73.436999999999998</v>
      </c>
      <c r="K16" s="102">
        <v>94.013999999999982</v>
      </c>
      <c r="L16" s="102">
        <v>86.092999999999989</v>
      </c>
      <c r="M16" s="102">
        <v>96.806999999999988</v>
      </c>
      <c r="N16" s="110">
        <f t="shared" si="0"/>
        <v>1079.6689999999999</v>
      </c>
    </row>
    <row r="17" spans="1:16">
      <c r="A17" s="101" t="s">
        <v>24</v>
      </c>
      <c r="B17" s="102">
        <v>58.027000000000001</v>
      </c>
      <c r="C17" s="102">
        <v>62.265000000000001</v>
      </c>
      <c r="D17" s="102">
        <v>60.928000000000004</v>
      </c>
      <c r="E17" s="102">
        <v>62.855000000000004</v>
      </c>
      <c r="F17" s="102">
        <v>61.160999999999994</v>
      </c>
      <c r="G17" s="102">
        <v>44.346000000000004</v>
      </c>
      <c r="H17" s="102">
        <v>62.417999999999999</v>
      </c>
      <c r="I17" s="102">
        <v>59.686999999999998</v>
      </c>
      <c r="J17" s="102">
        <v>61.963999999999999</v>
      </c>
      <c r="K17" s="102">
        <v>62.728000000000002</v>
      </c>
      <c r="L17" s="102">
        <v>57.145000000000003</v>
      </c>
      <c r="M17" s="102">
        <v>59.394999999999996</v>
      </c>
      <c r="N17" s="110">
        <f t="shared" si="0"/>
        <v>712.91899999999998</v>
      </c>
      <c r="P17" s="191"/>
    </row>
    <row r="18" spans="1:16">
      <c r="A18" s="101" t="s">
        <v>25</v>
      </c>
      <c r="B18" s="102">
        <v>209.041</v>
      </c>
      <c r="C18" s="102">
        <v>182.52300000000002</v>
      </c>
      <c r="D18" s="102">
        <v>185.649</v>
      </c>
      <c r="E18" s="102">
        <v>211.02199999999999</v>
      </c>
      <c r="F18" s="102">
        <v>248.88200000000001</v>
      </c>
      <c r="G18" s="102">
        <v>244.43999999999994</v>
      </c>
      <c r="H18" s="102">
        <v>254.14699999999999</v>
      </c>
      <c r="I18" s="102">
        <v>244.08699999999996</v>
      </c>
      <c r="J18" s="102">
        <v>251.22399999999999</v>
      </c>
      <c r="K18" s="102">
        <v>253.06899999999996</v>
      </c>
      <c r="L18" s="102">
        <v>233.22399999999999</v>
      </c>
      <c r="M18" s="102">
        <v>257.73500000000001</v>
      </c>
      <c r="N18" s="110">
        <f t="shared" si="0"/>
        <v>2775.0430000000001</v>
      </c>
    </row>
    <row r="19" spans="1:16">
      <c r="A19" s="101" t="s">
        <v>99</v>
      </c>
      <c r="B19" s="102">
        <v>1327.9749999999997</v>
      </c>
      <c r="C19" s="102">
        <v>1362.5139999999999</v>
      </c>
      <c r="D19" s="102">
        <v>1263.578</v>
      </c>
      <c r="E19" s="102">
        <v>1346.2379999999998</v>
      </c>
      <c r="F19" s="102">
        <v>2.0990000000000002</v>
      </c>
      <c r="G19" s="102">
        <v>274.67199999999997</v>
      </c>
      <c r="H19" s="102">
        <v>1239.1120000000001</v>
      </c>
      <c r="I19" s="102">
        <v>1330.6169999999997</v>
      </c>
      <c r="J19" s="102">
        <v>1416.576</v>
      </c>
      <c r="K19" s="102">
        <v>1425.155</v>
      </c>
      <c r="L19" s="102">
        <v>1191.9579999999999</v>
      </c>
      <c r="M19" s="102">
        <v>1418.039</v>
      </c>
      <c r="N19" s="110">
        <f t="shared" si="0"/>
        <v>13598.532999999999</v>
      </c>
    </row>
    <row r="20" spans="1:16">
      <c r="A20" s="115" t="s">
        <v>27</v>
      </c>
      <c r="B20" s="110">
        <f t="shared" ref="B20:N20" si="1">SUM(B11:B19)</f>
        <v>6237.2629999999999</v>
      </c>
      <c r="C20" s="110">
        <f t="shared" si="1"/>
        <v>6422.4060000000009</v>
      </c>
      <c r="D20" s="110">
        <f t="shared" si="1"/>
        <v>6276.8029999999999</v>
      </c>
      <c r="E20" s="110">
        <f t="shared" si="1"/>
        <v>6167.1899999999987</v>
      </c>
      <c r="F20" s="110">
        <f t="shared" si="1"/>
        <v>4836.8599999999997</v>
      </c>
      <c r="G20" s="110">
        <f t="shared" si="1"/>
        <v>5088.2769999999982</v>
      </c>
      <c r="H20" s="110">
        <f t="shared" si="1"/>
        <v>6245.2179999999989</v>
      </c>
      <c r="I20" s="110">
        <f t="shared" si="1"/>
        <v>5796.2089999999989</v>
      </c>
      <c r="J20" s="110">
        <f t="shared" si="1"/>
        <v>6161.1529999999993</v>
      </c>
      <c r="K20" s="110">
        <f t="shared" si="1"/>
        <v>6541.9360000000006</v>
      </c>
      <c r="L20" s="110">
        <f t="shared" si="1"/>
        <v>5938.4040000000005</v>
      </c>
      <c r="M20" s="110">
        <f t="shared" si="1"/>
        <v>6696.3709999999992</v>
      </c>
      <c r="N20" s="110">
        <f t="shared" si="1"/>
        <v>72408.09</v>
      </c>
    </row>
    <row r="21" spans="1:16">
      <c r="A21" s="101"/>
      <c r="B21" s="102"/>
      <c r="C21" s="102"/>
      <c r="D21" s="102"/>
      <c r="E21" s="102"/>
      <c r="F21" s="102"/>
      <c r="G21" s="102"/>
      <c r="H21" s="102"/>
      <c r="I21" s="102"/>
      <c r="J21" s="110"/>
      <c r="K21" s="110"/>
      <c r="L21" s="110"/>
      <c r="M21" s="110"/>
      <c r="N21" s="110"/>
    </row>
    <row r="22" spans="1:16">
      <c r="A22" s="115" t="s">
        <v>102</v>
      </c>
      <c r="B22" s="102"/>
      <c r="C22" s="102"/>
      <c r="D22" s="102"/>
      <c r="E22" s="102"/>
      <c r="F22" s="102"/>
      <c r="G22" s="102"/>
      <c r="H22" s="102"/>
      <c r="I22" s="102"/>
      <c r="J22" s="110"/>
      <c r="K22" s="110"/>
      <c r="L22" s="110"/>
      <c r="M22" s="110"/>
      <c r="N22" s="110"/>
    </row>
    <row r="23" spans="1:16">
      <c r="A23" s="101" t="s">
        <v>37</v>
      </c>
      <c r="B23" s="102">
        <v>904.19783099999984</v>
      </c>
      <c r="C23" s="102">
        <v>1005.4420659999998</v>
      </c>
      <c r="D23" s="102">
        <v>972.60577500000011</v>
      </c>
      <c r="E23" s="102">
        <v>975.06522499999994</v>
      </c>
      <c r="F23" s="102">
        <v>940.43377999999984</v>
      </c>
      <c r="G23" s="102">
        <v>961.61063660000002</v>
      </c>
      <c r="H23" s="102">
        <v>723.12963939999986</v>
      </c>
      <c r="I23" s="102">
        <v>921.00276200000008</v>
      </c>
      <c r="J23" s="102">
        <v>960.42382299999997</v>
      </c>
      <c r="K23" s="102">
        <v>990.29651000000001</v>
      </c>
      <c r="L23" s="102">
        <v>927.87515299999995</v>
      </c>
      <c r="M23" s="102">
        <v>1033.6385710000002</v>
      </c>
      <c r="N23" s="110">
        <f>SUM(B23:M23)</f>
        <v>11315.721771999997</v>
      </c>
    </row>
    <row r="24" spans="1:16">
      <c r="A24" s="101" t="s">
        <v>38</v>
      </c>
      <c r="B24" s="102">
        <v>0</v>
      </c>
      <c r="C24" s="102">
        <v>0</v>
      </c>
      <c r="D24" s="102">
        <v>0</v>
      </c>
      <c r="E24" s="102">
        <v>0</v>
      </c>
      <c r="F24" s="102">
        <v>0</v>
      </c>
      <c r="G24" s="102">
        <v>0</v>
      </c>
      <c r="H24" s="102">
        <v>0</v>
      </c>
      <c r="I24" s="102">
        <v>0</v>
      </c>
      <c r="J24" s="102">
        <v>0</v>
      </c>
      <c r="K24" s="102">
        <v>0</v>
      </c>
      <c r="L24" s="102">
        <v>0</v>
      </c>
      <c r="M24" s="102">
        <v>0</v>
      </c>
      <c r="N24" s="110">
        <f>SUM(B24:M24)</f>
        <v>0</v>
      </c>
    </row>
    <row r="25" spans="1:16">
      <c r="A25" s="115" t="s">
        <v>39</v>
      </c>
      <c r="B25" s="110">
        <f t="shared" ref="B25:H25" si="2">SUM(B23:B24)</f>
        <v>904.19783099999984</v>
      </c>
      <c r="C25" s="110">
        <f t="shared" si="2"/>
        <v>1005.4420659999998</v>
      </c>
      <c r="D25" s="110">
        <f t="shared" si="2"/>
        <v>972.60577500000011</v>
      </c>
      <c r="E25" s="110">
        <f t="shared" si="2"/>
        <v>975.06522499999994</v>
      </c>
      <c r="F25" s="110">
        <f t="shared" si="2"/>
        <v>940.43377999999984</v>
      </c>
      <c r="G25" s="110">
        <f t="shared" si="2"/>
        <v>961.61063660000002</v>
      </c>
      <c r="H25" s="110">
        <f t="shared" si="2"/>
        <v>723.12963939999986</v>
      </c>
      <c r="I25" s="110">
        <f>SUM(I23:I24)</f>
        <v>921.00276200000008</v>
      </c>
      <c r="J25" s="110">
        <f>SUM(J23:J24)</f>
        <v>960.42382299999997</v>
      </c>
      <c r="K25" s="110">
        <f>SUM(K23:K24)</f>
        <v>990.29651000000001</v>
      </c>
      <c r="L25" s="110">
        <f>SUM(L23:L24)</f>
        <v>927.87515299999995</v>
      </c>
      <c r="M25" s="110">
        <f>SUM(M23:M24)</f>
        <v>1033.6385710000002</v>
      </c>
      <c r="N25" s="110">
        <f>SUM(B25:M25)</f>
        <v>11315.721771999997</v>
      </c>
    </row>
    <row r="26" spans="1:16">
      <c r="A26" s="101"/>
      <c r="B26" s="102"/>
      <c r="C26" s="102"/>
      <c r="D26" s="102"/>
      <c r="E26" s="102"/>
      <c r="F26" s="102"/>
      <c r="G26" s="102"/>
      <c r="H26" s="102"/>
      <c r="I26" s="102"/>
      <c r="J26" s="110"/>
      <c r="K26" s="110"/>
      <c r="L26" s="110"/>
      <c r="M26" s="110"/>
      <c r="N26" s="110"/>
    </row>
    <row r="27" spans="1:16">
      <c r="A27" s="115" t="s">
        <v>101</v>
      </c>
      <c r="B27" s="102"/>
      <c r="C27" s="102"/>
      <c r="D27" s="102"/>
      <c r="E27" s="102"/>
      <c r="F27" s="102"/>
      <c r="G27" s="102"/>
      <c r="H27" s="102"/>
      <c r="I27" s="102"/>
      <c r="J27" s="110"/>
      <c r="K27" s="110"/>
      <c r="L27" s="110"/>
      <c r="M27" s="110"/>
      <c r="N27" s="110"/>
    </row>
    <row r="28" spans="1:16">
      <c r="A28" s="101" t="s">
        <v>33</v>
      </c>
      <c r="B28" s="102">
        <v>1301.75539</v>
      </c>
      <c r="C28" s="102">
        <v>1256.5507299999999</v>
      </c>
      <c r="D28" s="102">
        <v>881.71101120000003</v>
      </c>
      <c r="E28" s="102">
        <v>689.35758699999997</v>
      </c>
      <c r="F28" s="102">
        <v>1246.6251597999999</v>
      </c>
      <c r="G28" s="102">
        <v>1261.032553</v>
      </c>
      <c r="H28" s="102">
        <v>1306.8788650000001</v>
      </c>
      <c r="I28" s="102">
        <v>1216.453608</v>
      </c>
      <c r="J28" s="102">
        <v>1344.1139629999996</v>
      </c>
      <c r="K28" s="102">
        <v>1390.2081647574087</v>
      </c>
      <c r="L28" s="102">
        <v>1293.1171037574088</v>
      </c>
      <c r="M28" s="102">
        <v>1358.2675399999998</v>
      </c>
      <c r="N28" s="110">
        <f>SUM(B28:M28)</f>
        <v>14546.071675514817</v>
      </c>
    </row>
    <row r="29" spans="1:16">
      <c r="A29" s="101" t="s">
        <v>65</v>
      </c>
      <c r="B29" s="102">
        <v>1314.1115420000001</v>
      </c>
      <c r="C29" s="102">
        <v>1431.8539270000001</v>
      </c>
      <c r="D29" s="102">
        <v>1363.8512699999999</v>
      </c>
      <c r="E29" s="102">
        <v>1423.6466720000001</v>
      </c>
      <c r="F29" s="102">
        <v>1377.3255039999999</v>
      </c>
      <c r="G29" s="102">
        <v>1155.8842539999998</v>
      </c>
      <c r="H29" s="102">
        <v>581.02100499999995</v>
      </c>
      <c r="I29" s="102">
        <v>1380.8234849999999</v>
      </c>
      <c r="J29" s="102">
        <v>1506.6318170000002</v>
      </c>
      <c r="K29" s="102">
        <v>1533.0759359999997</v>
      </c>
      <c r="L29" s="102">
        <v>1406.5117790000004</v>
      </c>
      <c r="M29" s="102">
        <v>1542.0188979999998</v>
      </c>
      <c r="N29" s="110">
        <f>SUM(B29:M29)</f>
        <v>16016.756088999997</v>
      </c>
    </row>
    <row r="30" spans="1:16">
      <c r="A30" s="101" t="s">
        <v>67</v>
      </c>
      <c r="B30" s="102">
        <v>684.49128499999995</v>
      </c>
      <c r="C30" s="102">
        <v>675.72722500000009</v>
      </c>
      <c r="D30" s="102">
        <v>649.81704999999988</v>
      </c>
      <c r="E30" s="102">
        <v>586.53276600000004</v>
      </c>
      <c r="F30" s="102">
        <v>412.22270200000003</v>
      </c>
      <c r="G30" s="102">
        <v>650.73218799999995</v>
      </c>
      <c r="H30" s="102">
        <v>705.15644300000008</v>
      </c>
      <c r="I30" s="102">
        <v>691.93328800000006</v>
      </c>
      <c r="J30" s="102">
        <v>712.60742900000014</v>
      </c>
      <c r="K30" s="102">
        <v>678.70779500000003</v>
      </c>
      <c r="L30" s="102">
        <v>657.04846199999997</v>
      </c>
      <c r="M30" s="102">
        <v>735.71125099999995</v>
      </c>
      <c r="N30" s="110">
        <f>SUM(B30:M30)</f>
        <v>7840.6878840000008</v>
      </c>
    </row>
    <row r="31" spans="1:16">
      <c r="A31" s="115" t="s">
        <v>35</v>
      </c>
      <c r="B31" s="110">
        <f t="shared" ref="B31:M31" si="3">SUM(B28:B30)</f>
        <v>3300.358217</v>
      </c>
      <c r="C31" s="110">
        <f t="shared" si="3"/>
        <v>3364.1318820000001</v>
      </c>
      <c r="D31" s="110">
        <f t="shared" si="3"/>
        <v>2895.3793311999998</v>
      </c>
      <c r="E31" s="110">
        <f t="shared" si="3"/>
        <v>2699.5370250000005</v>
      </c>
      <c r="F31" s="110">
        <f t="shared" si="3"/>
        <v>3036.1733657999998</v>
      </c>
      <c r="G31" s="110">
        <f t="shared" si="3"/>
        <v>3067.6489949999996</v>
      </c>
      <c r="H31" s="110">
        <f t="shared" si="3"/>
        <v>2593.056313</v>
      </c>
      <c r="I31" s="110">
        <f t="shared" si="3"/>
        <v>3289.2103809999999</v>
      </c>
      <c r="J31" s="110">
        <f t="shared" si="3"/>
        <v>3563.3532089999999</v>
      </c>
      <c r="K31" s="110">
        <f t="shared" si="3"/>
        <v>3601.9918957574082</v>
      </c>
      <c r="L31" s="110">
        <f t="shared" si="3"/>
        <v>3356.6773447574087</v>
      </c>
      <c r="M31" s="110">
        <f t="shared" si="3"/>
        <v>3635.9976889999998</v>
      </c>
      <c r="N31" s="110">
        <f>SUM(B31:M31)</f>
        <v>38403.515648514818</v>
      </c>
    </row>
    <row r="32" spans="1:16">
      <c r="A32" s="101" t="s">
        <v>66</v>
      </c>
      <c r="B32" s="110">
        <v>270.71993617100003</v>
      </c>
      <c r="C32" s="110">
        <v>275.33742206600004</v>
      </c>
      <c r="D32" s="110">
        <v>240.56194739399999</v>
      </c>
      <c r="E32" s="110">
        <v>261.07461932400003</v>
      </c>
      <c r="F32" s="110">
        <v>264.32580454699996</v>
      </c>
      <c r="G32" s="110">
        <v>247.84873228500001</v>
      </c>
      <c r="H32" s="110">
        <v>279.609150806</v>
      </c>
      <c r="I32" s="110">
        <v>246.99792258800002</v>
      </c>
      <c r="J32" s="110">
        <v>271.758373635</v>
      </c>
      <c r="K32" s="110">
        <v>284.04528551299995</v>
      </c>
      <c r="L32" s="110">
        <v>244.061592615</v>
      </c>
      <c r="M32" s="110">
        <v>205.02355852900001</v>
      </c>
      <c r="N32" s="110">
        <f>SUM(B32:M32)</f>
        <v>3091.3643454730004</v>
      </c>
    </row>
    <row r="34" spans="1:14">
      <c r="A34" s="115" t="s">
        <v>103</v>
      </c>
      <c r="B34" s="102"/>
      <c r="C34" s="102"/>
      <c r="D34" s="102"/>
      <c r="E34" s="102"/>
      <c r="F34" s="102"/>
      <c r="G34" s="102"/>
      <c r="H34" s="102"/>
      <c r="I34" s="102"/>
      <c r="J34" s="110"/>
      <c r="K34" s="110"/>
      <c r="L34" s="110"/>
      <c r="M34" s="110"/>
      <c r="N34" s="110"/>
    </row>
    <row r="35" spans="1:14">
      <c r="A35" s="101" t="s">
        <v>41</v>
      </c>
      <c r="B35" s="102">
        <v>6.050573</v>
      </c>
      <c r="C35" s="102">
        <v>6.7794790000000011</v>
      </c>
      <c r="D35" s="102">
        <v>6.721340999999998</v>
      </c>
      <c r="E35" s="102">
        <v>4.9757659999999992</v>
      </c>
      <c r="F35" s="102">
        <v>3.9336219999999997</v>
      </c>
      <c r="G35" s="102">
        <v>6.8205619999999998</v>
      </c>
      <c r="H35" s="102">
        <v>7.5467180000000003</v>
      </c>
      <c r="I35" s="102">
        <v>6.2965530000000003</v>
      </c>
      <c r="J35" s="102">
        <v>6.4641099999999998</v>
      </c>
      <c r="K35" s="102">
        <v>6.5740670000000003</v>
      </c>
      <c r="L35" s="102">
        <v>6.1177979999999996</v>
      </c>
      <c r="M35" s="102">
        <v>4.9405890000000001</v>
      </c>
      <c r="N35" s="110">
        <f>SUM(B35:M35)</f>
        <v>73.221177999999995</v>
      </c>
    </row>
    <row r="36" spans="1:14">
      <c r="A36" s="101" t="s">
        <v>42</v>
      </c>
      <c r="B36" s="102">
        <v>1480.9694479999998</v>
      </c>
      <c r="C36" s="102">
        <v>1415.2016005334094</v>
      </c>
      <c r="D36" s="102">
        <v>1428.9667584665899</v>
      </c>
      <c r="E36" s="102">
        <v>1428.3631820000001</v>
      </c>
      <c r="F36" s="102">
        <v>1182.2085105000003</v>
      </c>
      <c r="G36" s="102">
        <v>1329.6191859999999</v>
      </c>
      <c r="H36" s="102">
        <v>1493.4727699999999</v>
      </c>
      <c r="I36" s="102">
        <v>1461.5975570000003</v>
      </c>
      <c r="J36" s="102">
        <v>1504.0463035000002</v>
      </c>
      <c r="K36" s="102">
        <v>1496.5942180000002</v>
      </c>
      <c r="L36" s="102">
        <v>1392.9899659999999</v>
      </c>
      <c r="M36" s="102">
        <v>1502.2460000000001</v>
      </c>
      <c r="N36" s="110">
        <f>SUM(B36:M36)</f>
        <v>17116.2755</v>
      </c>
    </row>
    <row r="37" spans="1:14">
      <c r="A37" s="115" t="s">
        <v>43</v>
      </c>
      <c r="B37" s="110">
        <f t="shared" ref="B37:H37" si="4">SUM(B35:B36)</f>
        <v>1487.0200209999998</v>
      </c>
      <c r="C37" s="110">
        <f t="shared" si="4"/>
        <v>1421.9810795334095</v>
      </c>
      <c r="D37" s="110">
        <f t="shared" si="4"/>
        <v>1435.6880994665898</v>
      </c>
      <c r="E37" s="110">
        <f t="shared" si="4"/>
        <v>1433.3389480000001</v>
      </c>
      <c r="F37" s="110">
        <f t="shared" si="4"/>
        <v>1186.1421325000003</v>
      </c>
      <c r="G37" s="110">
        <f t="shared" si="4"/>
        <v>1336.439748</v>
      </c>
      <c r="H37" s="110">
        <f t="shared" si="4"/>
        <v>1501.0194879999999</v>
      </c>
      <c r="I37" s="110">
        <f>SUM(I35:I36)</f>
        <v>1467.8941100000002</v>
      </c>
      <c r="J37" s="110">
        <f>SUM(J35:J36)</f>
        <v>1510.5104135000001</v>
      </c>
      <c r="K37" s="110">
        <f>SUM(K35:K36)</f>
        <v>1503.1682850000002</v>
      </c>
      <c r="L37" s="110">
        <f>SUM(L35:L36)</f>
        <v>1399.1077639999999</v>
      </c>
      <c r="M37" s="110">
        <f>SUM(M35:M36)</f>
        <v>1507.1865890000001</v>
      </c>
      <c r="N37" s="110">
        <f>SUM(B37:M37)</f>
        <v>17189.496678</v>
      </c>
    </row>
    <row r="38" spans="1:14">
      <c r="A38" s="101"/>
      <c r="B38" s="102"/>
      <c r="C38" s="102"/>
      <c r="D38" s="102"/>
      <c r="E38" s="102"/>
      <c r="F38" s="102"/>
      <c r="G38" s="102"/>
      <c r="H38" s="102"/>
      <c r="I38" s="102"/>
      <c r="J38" s="110"/>
      <c r="K38" s="110"/>
      <c r="L38" s="110"/>
      <c r="M38" s="110"/>
      <c r="N38" s="110"/>
    </row>
    <row r="39" spans="1:14">
      <c r="A39" s="115" t="s">
        <v>119</v>
      </c>
      <c r="B39" s="102"/>
      <c r="C39" s="102"/>
      <c r="D39" s="102"/>
      <c r="E39" s="102"/>
      <c r="F39" s="102"/>
      <c r="G39" s="102"/>
      <c r="H39" s="102"/>
      <c r="I39" s="102"/>
      <c r="J39" s="110"/>
      <c r="K39" s="110"/>
      <c r="L39" s="110"/>
      <c r="M39" s="110"/>
      <c r="N39" s="110"/>
    </row>
    <row r="40" spans="1:14">
      <c r="A40" s="101" t="s">
        <v>29</v>
      </c>
      <c r="B40" s="102">
        <v>731.48558700000001</v>
      </c>
      <c r="C40" s="102">
        <v>844.05312299999991</v>
      </c>
      <c r="D40" s="102">
        <v>851.69371699999988</v>
      </c>
      <c r="E40" s="102">
        <v>876.48590600000011</v>
      </c>
      <c r="F40" s="102">
        <v>766.90336200000002</v>
      </c>
      <c r="G40" s="102">
        <v>786.46292100000005</v>
      </c>
      <c r="H40" s="102">
        <v>761.39043099999992</v>
      </c>
      <c r="I40" s="102">
        <v>820.12037000000009</v>
      </c>
      <c r="J40" s="102">
        <v>850.56260599999996</v>
      </c>
      <c r="K40" s="102">
        <v>837.69114900000011</v>
      </c>
      <c r="L40" s="102">
        <v>803.64527200000009</v>
      </c>
      <c r="M40" s="102">
        <v>873.82769400000006</v>
      </c>
      <c r="N40" s="110">
        <f>SUM(B40:M40)</f>
        <v>9804.3221379999995</v>
      </c>
    </row>
    <row r="41" spans="1:14">
      <c r="A41" s="101" t="s">
        <v>30</v>
      </c>
      <c r="B41" s="102">
        <v>797.81385399999999</v>
      </c>
      <c r="C41" s="102">
        <v>802.66519700000003</v>
      </c>
      <c r="D41" s="102">
        <v>781.84231399999987</v>
      </c>
      <c r="E41" s="102">
        <v>683.83095000000003</v>
      </c>
      <c r="F41" s="102">
        <v>555.77781000000004</v>
      </c>
      <c r="G41" s="102">
        <v>814.03872999999999</v>
      </c>
      <c r="H41" s="102">
        <v>787.49040000000002</v>
      </c>
      <c r="I41" s="102">
        <v>801.27917400000001</v>
      </c>
      <c r="J41" s="102">
        <v>818.37608999999998</v>
      </c>
      <c r="K41" s="102">
        <v>823.65055499999994</v>
      </c>
      <c r="L41" s="102">
        <v>745.84022600000014</v>
      </c>
      <c r="M41" s="102">
        <v>874.03102399999989</v>
      </c>
      <c r="N41" s="110">
        <f>SUM(B41:M41)</f>
        <v>9286.6363239999991</v>
      </c>
    </row>
    <row r="42" spans="1:14">
      <c r="A42" s="101" t="s">
        <v>72</v>
      </c>
      <c r="B42" s="102">
        <v>1039.8589999999999</v>
      </c>
      <c r="C42" s="102">
        <v>1111.1849999999999</v>
      </c>
      <c r="D42" s="102">
        <v>1078.4770000000001</v>
      </c>
      <c r="E42" s="102">
        <v>1109.489</v>
      </c>
      <c r="F42" s="102">
        <v>1019.6950000000001</v>
      </c>
      <c r="G42" s="102">
        <v>932.59400000000005</v>
      </c>
      <c r="H42" s="102">
        <v>1114.4949999999999</v>
      </c>
      <c r="I42" s="102">
        <v>978.04899999999998</v>
      </c>
      <c r="J42" s="102">
        <v>1116.441</v>
      </c>
      <c r="K42" s="102">
        <v>1116.623</v>
      </c>
      <c r="L42" s="102">
        <v>1008.015</v>
      </c>
      <c r="M42" s="102">
        <v>1110.3789999999999</v>
      </c>
      <c r="N42" s="110">
        <f>SUM(B42:M42)</f>
        <v>12735.300999999999</v>
      </c>
    </row>
    <row r="43" spans="1:14">
      <c r="A43" s="115" t="s">
        <v>31</v>
      </c>
      <c r="B43" s="110">
        <f t="shared" ref="B43:H43" si="5">SUM(B40:B42)</f>
        <v>2569.158441</v>
      </c>
      <c r="C43" s="110">
        <f t="shared" si="5"/>
        <v>2757.9033199999999</v>
      </c>
      <c r="D43" s="110">
        <f t="shared" si="5"/>
        <v>2712.0130309999995</v>
      </c>
      <c r="E43" s="110">
        <f t="shared" si="5"/>
        <v>2669.8058559999999</v>
      </c>
      <c r="F43" s="110">
        <f t="shared" si="5"/>
        <v>2342.3761720000002</v>
      </c>
      <c r="G43" s="110">
        <f t="shared" si="5"/>
        <v>2533.0956510000001</v>
      </c>
      <c r="H43" s="110">
        <f t="shared" si="5"/>
        <v>2663.3758309999998</v>
      </c>
      <c r="I43" s="110">
        <f>SUM(I40:I42)</f>
        <v>2599.4485439999999</v>
      </c>
      <c r="J43" s="110">
        <f>SUM(J40:J42)</f>
        <v>2785.379696</v>
      </c>
      <c r="K43" s="110">
        <f>SUM(K40:K42)</f>
        <v>2777.964704</v>
      </c>
      <c r="L43" s="110">
        <f>SUM(L40:L42)</f>
        <v>2557.5004980000003</v>
      </c>
      <c r="M43" s="110">
        <f>SUM(M40:M42)</f>
        <v>2858.2377179999999</v>
      </c>
      <c r="N43" s="110">
        <f>SUM(B43:M43)</f>
        <v>31826.259461999998</v>
      </c>
    </row>
    <row r="44" spans="1:14">
      <c r="A44" s="101"/>
      <c r="B44" s="102"/>
      <c r="C44" s="102"/>
      <c r="D44" s="102"/>
      <c r="E44" s="102"/>
      <c r="G44" s="102"/>
      <c r="H44" s="102"/>
      <c r="I44" s="102"/>
      <c r="J44" s="110"/>
      <c r="K44" s="110"/>
      <c r="L44" s="110"/>
      <c r="M44" s="110"/>
      <c r="N44" s="110"/>
    </row>
    <row r="45" spans="1:14">
      <c r="A45" s="115" t="s">
        <v>44</v>
      </c>
      <c r="B45" s="102"/>
      <c r="C45" s="102"/>
      <c r="D45" s="102"/>
      <c r="E45" s="102"/>
      <c r="F45" s="102"/>
      <c r="G45" s="102"/>
      <c r="H45" s="102"/>
      <c r="I45" s="102"/>
      <c r="J45" s="110"/>
      <c r="K45" s="110"/>
      <c r="L45" s="110"/>
      <c r="M45" s="110"/>
      <c r="N45" s="110"/>
    </row>
    <row r="46" spans="1:14">
      <c r="A46" s="101" t="s">
        <v>45</v>
      </c>
      <c r="B46" s="102">
        <v>3034.2691409999998</v>
      </c>
      <c r="C46" s="102">
        <v>3123.9369649999999</v>
      </c>
      <c r="D46" s="102">
        <v>2953.7902529999997</v>
      </c>
      <c r="E46" s="102">
        <v>2932.9640979999995</v>
      </c>
      <c r="F46" s="102">
        <v>3029.9424480000002</v>
      </c>
      <c r="G46" s="102">
        <v>2784.1078610000004</v>
      </c>
      <c r="H46" s="102">
        <v>2931.6202830000002</v>
      </c>
      <c r="I46" s="102">
        <v>2555.9158700000003</v>
      </c>
      <c r="J46" s="102">
        <v>2840.8566100000007</v>
      </c>
      <c r="K46" s="102">
        <v>2847.9967059999999</v>
      </c>
      <c r="L46" s="102">
        <v>2575.905808</v>
      </c>
      <c r="M46" s="102">
        <v>2822.1633420000003</v>
      </c>
      <c r="N46" s="110">
        <f>SUM(B46:M46)</f>
        <v>34433.469385000004</v>
      </c>
    </row>
    <row r="47" spans="1:14">
      <c r="A47" s="101" t="s">
        <v>46</v>
      </c>
      <c r="B47" s="102">
        <v>2116.6446809999998</v>
      </c>
      <c r="C47" s="102">
        <v>2547.2464569999997</v>
      </c>
      <c r="D47" s="102">
        <v>2408.1138179999998</v>
      </c>
      <c r="E47" s="102">
        <v>2549.4665</v>
      </c>
      <c r="F47" s="102">
        <v>2146.6435879999999</v>
      </c>
      <c r="G47" s="102">
        <v>1838.7340660000002</v>
      </c>
      <c r="H47" s="102">
        <v>1759.639484</v>
      </c>
      <c r="I47" s="102">
        <v>2677.7940580000004</v>
      </c>
      <c r="J47" s="102">
        <v>2467.0466269999997</v>
      </c>
      <c r="K47" s="102">
        <v>2542.8047409999999</v>
      </c>
      <c r="L47" s="102">
        <v>2280.0350659999999</v>
      </c>
      <c r="M47" s="102">
        <v>2537.588538</v>
      </c>
      <c r="N47" s="110">
        <f>SUM(B47:M47)</f>
        <v>27871.757623999998</v>
      </c>
    </row>
    <row r="48" spans="1:14">
      <c r="A48" s="115" t="s">
        <v>47</v>
      </c>
      <c r="B48" s="110">
        <f>SUM(B46:B47)</f>
        <v>5150.9138219999995</v>
      </c>
      <c r="C48" s="110">
        <f t="shared" ref="C48:H48" si="6">SUM(C46:C47)</f>
        <v>5671.1834220000001</v>
      </c>
      <c r="D48" s="110">
        <f t="shared" si="6"/>
        <v>5361.904070999999</v>
      </c>
      <c r="E48" s="110">
        <f t="shared" si="6"/>
        <v>5482.430597999999</v>
      </c>
      <c r="F48" s="110">
        <f t="shared" si="6"/>
        <v>5176.5860360000006</v>
      </c>
      <c r="G48" s="110">
        <f>SUM(G46:G47)</f>
        <v>4622.8419270000004</v>
      </c>
      <c r="H48" s="110">
        <f t="shared" si="6"/>
        <v>4691.2597670000005</v>
      </c>
      <c r="I48" s="110">
        <f>SUM(I46:I47)</f>
        <v>5233.7099280000002</v>
      </c>
      <c r="J48" s="110">
        <f>SUM(J46:J47)</f>
        <v>5307.9032370000004</v>
      </c>
      <c r="K48" s="110">
        <f>SUM(K46:K47)</f>
        <v>5390.8014469999998</v>
      </c>
      <c r="L48" s="110">
        <f>SUM(L46:L47)</f>
        <v>4855.9408739999999</v>
      </c>
      <c r="M48" s="110">
        <f>SUM(M46:M47)</f>
        <v>5359.7518799999998</v>
      </c>
      <c r="N48" s="110">
        <f>SUM(B48:M48)</f>
        <v>62305.227009000009</v>
      </c>
    </row>
    <row r="49" spans="1:14">
      <c r="A49" s="101"/>
      <c r="B49" s="102"/>
      <c r="C49" s="102"/>
      <c r="D49" s="102"/>
      <c r="E49" s="102"/>
      <c r="F49" s="102"/>
      <c r="G49" s="102"/>
      <c r="H49" s="102"/>
      <c r="I49" s="102"/>
      <c r="J49" s="110"/>
      <c r="K49" s="110"/>
      <c r="L49" s="110"/>
      <c r="M49" s="110"/>
      <c r="N49" s="110"/>
    </row>
    <row r="50" spans="1:14">
      <c r="A50" s="115" t="s">
        <v>115</v>
      </c>
      <c r="B50" s="110">
        <v>1659.9795694610002</v>
      </c>
      <c r="C50" s="110">
        <v>1725.5136627019997</v>
      </c>
      <c r="D50" s="110">
        <v>1679.6149328399999</v>
      </c>
      <c r="E50" s="110">
        <v>1734.7980703260009</v>
      </c>
      <c r="F50" s="110">
        <v>1750.7999876199997</v>
      </c>
      <c r="G50" s="110">
        <v>1692.1553752170003</v>
      </c>
      <c r="H50" s="110">
        <v>1716.961147218</v>
      </c>
      <c r="I50" s="110">
        <v>25.550886650999999</v>
      </c>
      <c r="J50" s="110">
        <v>1712.0763678389999</v>
      </c>
      <c r="K50" s="110">
        <v>1719.3741436549999</v>
      </c>
      <c r="L50" s="110">
        <v>1568.2199914639998</v>
      </c>
      <c r="M50" s="110">
        <v>1707.4025905270005</v>
      </c>
      <c r="N50" s="110">
        <f>SUM(B50:M50)</f>
        <v>18692.44672552</v>
      </c>
    </row>
    <row r="51" spans="1:14">
      <c r="A51" s="101"/>
      <c r="B51" s="102"/>
      <c r="C51" s="102"/>
      <c r="D51" s="102"/>
      <c r="E51" s="102"/>
      <c r="F51" s="102"/>
      <c r="G51" s="102"/>
      <c r="H51" s="102"/>
      <c r="I51" s="102"/>
      <c r="J51" s="110"/>
      <c r="K51" s="110"/>
      <c r="L51" s="110"/>
      <c r="M51" s="110"/>
      <c r="N51" s="110"/>
    </row>
    <row r="52" spans="1:14">
      <c r="A52" s="117" t="s">
        <v>49</v>
      </c>
      <c r="B52" s="138">
        <f t="shared" ref="B52:M52" si="7">+B50+B48+B43+B37+B32+B31+B25+B20</f>
        <v>21579.610837632001</v>
      </c>
      <c r="C52" s="138">
        <f t="shared" si="7"/>
        <v>22643.898854301409</v>
      </c>
      <c r="D52" s="138">
        <f t="shared" si="7"/>
        <v>21574.570187900586</v>
      </c>
      <c r="E52" s="138">
        <f t="shared" si="7"/>
        <v>21423.240341650002</v>
      </c>
      <c r="F52" s="138">
        <f t="shared" si="7"/>
        <v>19533.697278467</v>
      </c>
      <c r="G52" s="138">
        <f t="shared" si="7"/>
        <v>19549.918065102</v>
      </c>
      <c r="H52" s="138">
        <f t="shared" si="7"/>
        <v>20413.629336423997</v>
      </c>
      <c r="I52" s="138">
        <f t="shared" si="7"/>
        <v>19580.023534238997</v>
      </c>
      <c r="J52" s="138">
        <f t="shared" si="7"/>
        <v>22272.558119974001</v>
      </c>
      <c r="K52" s="138">
        <f t="shared" si="7"/>
        <v>22809.578270925409</v>
      </c>
      <c r="L52" s="138">
        <f t="shared" si="7"/>
        <v>20847.787217836412</v>
      </c>
      <c r="M52" s="138">
        <f t="shared" si="7"/>
        <v>23003.609596055998</v>
      </c>
      <c r="N52" s="110">
        <f>SUM(B52:M52)</f>
        <v>255232.12164050786</v>
      </c>
    </row>
    <row r="53" spans="1:14">
      <c r="A53" s="247" t="s">
        <v>68</v>
      </c>
      <c r="B53" s="248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9"/>
    </row>
    <row r="54" spans="1:14" s="155" customFormat="1">
      <c r="A54" s="250" t="s">
        <v>127</v>
      </c>
      <c r="B54" s="251"/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2"/>
    </row>
    <row r="55" spans="1:14">
      <c r="C55" s="165"/>
      <c r="D55" s="140"/>
      <c r="E55" s="140"/>
      <c r="F55" s="140"/>
      <c r="G55" s="140"/>
      <c r="H55" s="140"/>
      <c r="I55" s="140"/>
      <c r="J55" s="140"/>
      <c r="K55" s="141"/>
    </row>
  </sheetData>
  <mergeCells count="6">
    <mergeCell ref="A2:B6"/>
    <mergeCell ref="C2:H2"/>
    <mergeCell ref="I7:N7"/>
    <mergeCell ref="A8:N8"/>
    <mergeCell ref="A53:N53"/>
    <mergeCell ref="A54:N5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3FC2C-4789-43E5-AD75-EAE0AD71024C}">
  <dimension ref="A2:P55"/>
  <sheetViews>
    <sheetView workbookViewId="0">
      <selection activeCell="A12" sqref="A12:IV12"/>
    </sheetView>
  </sheetViews>
  <sheetFormatPr defaultRowHeight="15"/>
  <cols>
    <col min="1" max="1" width="37.42578125" style="100" customWidth="1"/>
    <col min="2" max="10" width="10.85546875" style="100" customWidth="1"/>
    <col min="11" max="13" width="8.5703125" style="108" bestFit="1" customWidth="1"/>
    <col min="14" max="14" width="12.7109375" style="108" customWidth="1"/>
    <col min="15" max="16384" width="9.140625" style="100"/>
  </cols>
  <sheetData>
    <row r="2" spans="1:14" ht="20.25">
      <c r="A2" s="225"/>
      <c r="B2" s="225"/>
      <c r="C2" s="242" t="s">
        <v>0</v>
      </c>
      <c r="D2" s="242"/>
      <c r="E2" s="242"/>
      <c r="F2" s="242"/>
      <c r="G2" s="242"/>
      <c r="H2" s="242"/>
    </row>
    <row r="3" spans="1:14">
      <c r="A3" s="225"/>
      <c r="B3" s="225"/>
    </row>
    <row r="4" spans="1:14">
      <c r="A4" s="225"/>
      <c r="B4" s="225"/>
    </row>
    <row r="5" spans="1:14">
      <c r="A5" s="225"/>
      <c r="B5" s="225"/>
    </row>
    <row r="6" spans="1:14">
      <c r="A6" s="225"/>
      <c r="B6" s="225"/>
    </row>
    <row r="7" spans="1:14" ht="18.75">
      <c r="A7" s="163" t="s">
        <v>125</v>
      </c>
      <c r="B7" s="164"/>
      <c r="C7" s="164"/>
      <c r="D7" s="164"/>
      <c r="E7" s="164"/>
      <c r="F7" s="164"/>
      <c r="G7" s="164"/>
      <c r="H7" s="164"/>
      <c r="I7" s="243" t="s">
        <v>2</v>
      </c>
      <c r="J7" s="243"/>
      <c r="K7" s="243"/>
      <c r="L7" s="243"/>
      <c r="M7" s="243"/>
      <c r="N7" s="243"/>
    </row>
    <row r="8" spans="1:14" ht="19.5" customHeight="1">
      <c r="A8" s="244" t="s">
        <v>3</v>
      </c>
      <c r="B8" s="245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6"/>
    </row>
    <row r="9" spans="1:14" ht="18.75">
      <c r="A9" s="112" t="s">
        <v>51</v>
      </c>
      <c r="B9" s="113" t="s">
        <v>52</v>
      </c>
      <c r="C9" s="114" t="s">
        <v>53</v>
      </c>
      <c r="D9" s="114" t="s">
        <v>54</v>
      </c>
      <c r="E9" s="114" t="s">
        <v>55</v>
      </c>
      <c r="F9" s="114" t="s">
        <v>56</v>
      </c>
      <c r="G9" s="114" t="s">
        <v>98</v>
      </c>
      <c r="H9" s="114" t="s">
        <v>58</v>
      </c>
      <c r="I9" s="114" t="s">
        <v>59</v>
      </c>
      <c r="J9" s="114" t="s">
        <v>60</v>
      </c>
      <c r="K9" s="134" t="s">
        <v>61</v>
      </c>
      <c r="L9" s="134" t="s">
        <v>62</v>
      </c>
      <c r="M9" s="134" t="s">
        <v>63</v>
      </c>
      <c r="N9" s="134" t="s">
        <v>64</v>
      </c>
    </row>
    <row r="10" spans="1:14">
      <c r="A10" s="115" t="s">
        <v>17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2"/>
      <c r="L10" s="102"/>
      <c r="M10" s="102"/>
      <c r="N10" s="102"/>
    </row>
    <row r="11" spans="1:14">
      <c r="A11" s="101" t="s">
        <v>22</v>
      </c>
      <c r="B11" s="102">
        <v>470.69100000000003</v>
      </c>
      <c r="C11" s="102">
        <v>532.63799999999992</v>
      </c>
      <c r="D11" s="102">
        <v>442.46500000000003</v>
      </c>
      <c r="E11" s="102">
        <v>569.13</v>
      </c>
      <c r="F11" s="102">
        <v>296.46500000000003</v>
      </c>
      <c r="G11" s="102">
        <v>56.143000000000001</v>
      </c>
      <c r="H11" s="102">
        <v>426.91399999999987</v>
      </c>
      <c r="I11" s="102">
        <v>479.05300000000005</v>
      </c>
      <c r="J11" s="102">
        <v>602.25800000000004</v>
      </c>
      <c r="K11" s="102">
        <v>618.63400000000024</v>
      </c>
      <c r="L11" s="102">
        <v>529.23799999999994</v>
      </c>
      <c r="M11" s="102">
        <v>596.03399999999988</v>
      </c>
      <c r="N11" s="110">
        <f>SUM(B11:M11)</f>
        <v>5619.6629999999996</v>
      </c>
    </row>
    <row r="12" spans="1:14">
      <c r="A12" s="101" t="s">
        <v>18</v>
      </c>
      <c r="B12" s="102">
        <v>997.51800000000003</v>
      </c>
      <c r="C12" s="102">
        <v>1042.1409999999998</v>
      </c>
      <c r="D12" s="102">
        <v>1072.183</v>
      </c>
      <c r="E12" s="102">
        <v>1101.5329999999999</v>
      </c>
      <c r="F12" s="102">
        <v>1089.672</v>
      </c>
      <c r="G12" s="102">
        <v>1005.097</v>
      </c>
      <c r="H12" s="102">
        <v>939.125</v>
      </c>
      <c r="I12" s="102">
        <v>1122.578</v>
      </c>
      <c r="J12" s="102">
        <v>1292.8429999999998</v>
      </c>
      <c r="K12" s="102">
        <v>1273.3580000000002</v>
      </c>
      <c r="L12" s="102">
        <v>1199.8209999999999</v>
      </c>
      <c r="M12" s="102">
        <v>1338.2370000000001</v>
      </c>
      <c r="N12" s="110">
        <f t="shared" ref="N12:N19" si="0">SUM(B12:M12)</f>
        <v>13474.106</v>
      </c>
    </row>
    <row r="13" spans="1:14">
      <c r="A13" s="101" t="s">
        <v>21</v>
      </c>
      <c r="B13" s="102">
        <v>696.02200000000005</v>
      </c>
      <c r="C13" s="102">
        <v>624.17999999999995</v>
      </c>
      <c r="D13" s="102">
        <v>606.45399999999995</v>
      </c>
      <c r="E13" s="102">
        <v>643.55399999999997</v>
      </c>
      <c r="F13" s="102">
        <v>708.61900000000014</v>
      </c>
      <c r="G13" s="102">
        <v>641.51100000000008</v>
      </c>
      <c r="H13" s="102">
        <v>735.81500000000005</v>
      </c>
      <c r="I13" s="102">
        <v>707.577</v>
      </c>
      <c r="J13" s="102">
        <v>263.678</v>
      </c>
      <c r="K13" s="102">
        <v>301.49400000000003</v>
      </c>
      <c r="L13" s="102">
        <v>629.851</v>
      </c>
      <c r="M13" s="102">
        <v>746.70399999999995</v>
      </c>
      <c r="N13" s="110">
        <f t="shared" si="0"/>
        <v>7305.4589999999998</v>
      </c>
    </row>
    <row r="14" spans="1:14">
      <c r="A14" s="101" t="s">
        <v>19</v>
      </c>
      <c r="B14" s="102">
        <v>818.79700000000003</v>
      </c>
      <c r="C14" s="102">
        <v>692.32</v>
      </c>
      <c r="D14" s="102">
        <v>698.18299999999999</v>
      </c>
      <c r="E14" s="102">
        <v>665.07</v>
      </c>
      <c r="F14" s="102">
        <v>642.70499999999993</v>
      </c>
      <c r="G14" s="102">
        <v>723.09400000000005</v>
      </c>
      <c r="H14" s="102">
        <v>854.41500000000008</v>
      </c>
      <c r="I14" s="102">
        <v>852.22</v>
      </c>
      <c r="J14" s="102">
        <v>765.78099999999995</v>
      </c>
      <c r="K14" s="102">
        <v>745.53399999999999</v>
      </c>
      <c r="L14" s="102">
        <v>780.54300000000001</v>
      </c>
      <c r="M14" s="102">
        <v>884.1819999999999</v>
      </c>
      <c r="N14" s="110">
        <f t="shared" si="0"/>
        <v>9122.844000000001</v>
      </c>
    </row>
    <row r="15" spans="1:14">
      <c r="A15" s="101" t="s">
        <v>20</v>
      </c>
      <c r="B15" s="102">
        <v>1321.7380000000003</v>
      </c>
      <c r="C15" s="102">
        <v>1155.5409999999999</v>
      </c>
      <c r="D15" s="102">
        <v>1212.604</v>
      </c>
      <c r="E15" s="102">
        <v>1343.2169999999996</v>
      </c>
      <c r="F15" s="102">
        <v>1149.576</v>
      </c>
      <c r="G15" s="102">
        <v>1085.751</v>
      </c>
      <c r="H15" s="102">
        <v>1315.1179999999999</v>
      </c>
      <c r="I15" s="102">
        <v>1339.9839999999999</v>
      </c>
      <c r="J15" s="102">
        <v>1297.8729999999998</v>
      </c>
      <c r="K15" s="102">
        <v>1220.9060000000002</v>
      </c>
      <c r="L15" s="102">
        <v>1121.6360000000002</v>
      </c>
      <c r="M15" s="102">
        <v>1284.9100000000001</v>
      </c>
      <c r="N15" s="110">
        <f t="shared" si="0"/>
        <v>14848.854000000001</v>
      </c>
    </row>
    <row r="16" spans="1:14">
      <c r="A16" s="101" t="s">
        <v>23</v>
      </c>
      <c r="B16" s="102">
        <v>62.311000000000007</v>
      </c>
      <c r="C16" s="102">
        <v>0</v>
      </c>
      <c r="D16" s="102">
        <v>0</v>
      </c>
      <c r="E16" s="102">
        <v>0</v>
      </c>
      <c r="F16" s="102">
        <v>64.477000000000004</v>
      </c>
      <c r="G16" s="102">
        <v>76.510000000000005</v>
      </c>
      <c r="H16" s="102">
        <v>92.52600000000001</v>
      </c>
      <c r="I16" s="102">
        <v>83.173000000000002</v>
      </c>
      <c r="J16" s="102">
        <v>83.735000000000014</v>
      </c>
      <c r="K16" s="102">
        <v>92.140000000000015</v>
      </c>
      <c r="L16" s="102">
        <v>82.042999999999992</v>
      </c>
      <c r="M16" s="102">
        <v>93.3</v>
      </c>
      <c r="N16" s="110">
        <f t="shared" si="0"/>
        <v>730.21500000000003</v>
      </c>
    </row>
    <row r="17" spans="1:16">
      <c r="A17" s="101" t="s">
        <v>24</v>
      </c>
      <c r="B17" s="102">
        <v>56.324999999999996</v>
      </c>
      <c r="C17" s="102">
        <v>61.436</v>
      </c>
      <c r="D17" s="102">
        <v>59.265999999999998</v>
      </c>
      <c r="E17" s="102">
        <v>60.360999999999997</v>
      </c>
      <c r="F17" s="102">
        <v>56.302</v>
      </c>
      <c r="G17" s="102">
        <v>59.856999999999999</v>
      </c>
      <c r="H17" s="102">
        <v>61.4</v>
      </c>
      <c r="I17" s="102">
        <v>60.881</v>
      </c>
      <c r="J17" s="102">
        <v>61.546999999999997</v>
      </c>
      <c r="K17" s="102">
        <v>59.463000000000001</v>
      </c>
      <c r="L17" s="102">
        <v>49.881999999999998</v>
      </c>
      <c r="M17" s="102">
        <v>61.109000000000002</v>
      </c>
      <c r="N17" s="110">
        <f t="shared" si="0"/>
        <v>707.82899999999995</v>
      </c>
      <c r="P17" s="191"/>
    </row>
    <row r="18" spans="1:16">
      <c r="A18" s="101" t="s">
        <v>25</v>
      </c>
      <c r="B18" s="102">
        <v>225.11199999999997</v>
      </c>
      <c r="C18" s="102">
        <v>226.69799999999998</v>
      </c>
      <c r="D18" s="102">
        <v>233.42500000000004</v>
      </c>
      <c r="E18" s="102">
        <v>226.20900000000003</v>
      </c>
      <c r="F18" s="102">
        <v>232.68299999999999</v>
      </c>
      <c r="G18" s="102">
        <v>218.97499999999997</v>
      </c>
      <c r="H18" s="102">
        <v>214.86399999999998</v>
      </c>
      <c r="I18" s="102">
        <v>217.363</v>
      </c>
      <c r="J18" s="102">
        <v>206.45500000000004</v>
      </c>
      <c r="K18" s="102">
        <v>207.44099999999995</v>
      </c>
      <c r="L18" s="102">
        <v>180.881</v>
      </c>
      <c r="M18" s="102">
        <v>248.39399999999998</v>
      </c>
      <c r="N18" s="110">
        <f t="shared" si="0"/>
        <v>2638.4999999999995</v>
      </c>
    </row>
    <row r="19" spans="1:16">
      <c r="A19" s="101" t="s">
        <v>99</v>
      </c>
      <c r="B19" s="102">
        <v>1331.7949999999996</v>
      </c>
      <c r="C19" s="102">
        <v>1045.384</v>
      </c>
      <c r="D19" s="102">
        <v>1033.7559999999999</v>
      </c>
      <c r="E19" s="102">
        <v>1058.56</v>
      </c>
      <c r="F19" s="102">
        <v>663.05700000000002</v>
      </c>
      <c r="G19" s="102">
        <v>838.47900000000004</v>
      </c>
      <c r="H19" s="102">
        <v>877.06100000000004</v>
      </c>
      <c r="I19" s="102">
        <v>1119.5309999999999</v>
      </c>
      <c r="J19" s="102">
        <v>1330.3430000000003</v>
      </c>
      <c r="K19" s="102">
        <v>1324.7529999999999</v>
      </c>
      <c r="L19" s="102">
        <v>1211.2380000000001</v>
      </c>
      <c r="M19" s="102">
        <v>1383.4409999999998</v>
      </c>
      <c r="N19" s="110">
        <f t="shared" si="0"/>
        <v>13217.397999999997</v>
      </c>
    </row>
    <row r="20" spans="1:16">
      <c r="A20" s="115" t="s">
        <v>27</v>
      </c>
      <c r="B20" s="110">
        <f t="shared" ref="B20:N20" si="1">SUM(B11:B19)</f>
        <v>5980.3089999999993</v>
      </c>
      <c r="C20" s="110">
        <f t="shared" si="1"/>
        <v>5380.3379999999997</v>
      </c>
      <c r="D20" s="110">
        <f t="shared" si="1"/>
        <v>5358.3359999999993</v>
      </c>
      <c r="E20" s="110">
        <f t="shared" si="1"/>
        <v>5667.634</v>
      </c>
      <c r="F20" s="110">
        <f t="shared" si="1"/>
        <v>4903.5559999999996</v>
      </c>
      <c r="G20" s="110">
        <f t="shared" si="1"/>
        <v>4705.4170000000004</v>
      </c>
      <c r="H20" s="110">
        <f t="shared" si="1"/>
        <v>5517.2379999999985</v>
      </c>
      <c r="I20" s="110">
        <f t="shared" si="1"/>
        <v>5982.3600000000006</v>
      </c>
      <c r="J20" s="110">
        <f t="shared" si="1"/>
        <v>5904.512999999999</v>
      </c>
      <c r="K20" s="110">
        <f t="shared" si="1"/>
        <v>5843.723</v>
      </c>
      <c r="L20" s="110">
        <f t="shared" si="1"/>
        <v>5785.1329999999998</v>
      </c>
      <c r="M20" s="110">
        <f t="shared" si="1"/>
        <v>6636.3110000000006</v>
      </c>
      <c r="N20" s="110">
        <f t="shared" si="1"/>
        <v>67664.867999999988</v>
      </c>
    </row>
    <row r="21" spans="1:16">
      <c r="A21" s="101"/>
      <c r="B21" s="102"/>
      <c r="C21" s="102"/>
      <c r="D21" s="102"/>
      <c r="E21" s="102"/>
      <c r="F21" s="102"/>
      <c r="G21" s="102"/>
      <c r="H21" s="102"/>
      <c r="I21" s="102"/>
      <c r="J21" s="110"/>
      <c r="K21" s="110"/>
      <c r="L21" s="110"/>
      <c r="M21" s="110"/>
      <c r="N21" s="110"/>
    </row>
    <row r="22" spans="1:16">
      <c r="A22" s="115" t="s">
        <v>102</v>
      </c>
      <c r="B22" s="102"/>
      <c r="C22" s="102"/>
      <c r="D22" s="102"/>
      <c r="E22" s="102"/>
      <c r="F22" s="102"/>
      <c r="G22" s="102"/>
      <c r="H22" s="102"/>
      <c r="I22" s="102"/>
      <c r="J22" s="110"/>
      <c r="K22" s="110"/>
      <c r="L22" s="110"/>
      <c r="M22" s="110"/>
      <c r="N22" s="110"/>
    </row>
    <row r="23" spans="1:16">
      <c r="A23" s="101" t="s">
        <v>37</v>
      </c>
      <c r="B23" s="102">
        <v>759.7915210000001</v>
      </c>
      <c r="C23" s="102">
        <v>629.1661610000001</v>
      </c>
      <c r="D23" s="102">
        <v>645.55382699999996</v>
      </c>
      <c r="E23" s="102">
        <v>818.55688399999997</v>
      </c>
      <c r="F23" s="102">
        <v>629.06747799999994</v>
      </c>
      <c r="G23" s="102">
        <v>496.73020199999996</v>
      </c>
      <c r="H23" s="102">
        <v>500.22954800000002</v>
      </c>
      <c r="I23" s="102">
        <v>815.58409900000004</v>
      </c>
      <c r="J23" s="102">
        <v>840.13916399999994</v>
      </c>
      <c r="K23" s="102">
        <v>915.06770199999994</v>
      </c>
      <c r="L23" s="102">
        <v>928.45384599999988</v>
      </c>
      <c r="M23" s="102">
        <v>1062.078906</v>
      </c>
      <c r="N23" s="110">
        <f>SUM(B23:M23)</f>
        <v>9040.4193380000015</v>
      </c>
    </row>
    <row r="24" spans="1:16">
      <c r="A24" s="101" t="s">
        <v>38</v>
      </c>
      <c r="B24" s="102">
        <v>0</v>
      </c>
      <c r="C24" s="102">
        <v>0</v>
      </c>
      <c r="D24" s="102">
        <v>0</v>
      </c>
      <c r="E24" s="102">
        <v>0</v>
      </c>
      <c r="F24" s="102">
        <v>0</v>
      </c>
      <c r="G24" s="102">
        <v>0</v>
      </c>
      <c r="H24" s="102">
        <v>0</v>
      </c>
      <c r="I24" s="102">
        <v>0</v>
      </c>
      <c r="J24" s="102">
        <v>0</v>
      </c>
      <c r="K24" s="102">
        <v>0</v>
      </c>
      <c r="L24" s="102">
        <v>0</v>
      </c>
      <c r="M24" s="102">
        <v>0</v>
      </c>
      <c r="N24" s="110">
        <f>SUM(B24:M24)</f>
        <v>0</v>
      </c>
    </row>
    <row r="25" spans="1:16">
      <c r="A25" s="115" t="s">
        <v>39</v>
      </c>
      <c r="B25" s="110">
        <f t="shared" ref="B25:H25" si="2">SUM(B23:B24)</f>
        <v>759.7915210000001</v>
      </c>
      <c r="C25" s="110">
        <f t="shared" si="2"/>
        <v>629.1661610000001</v>
      </c>
      <c r="D25" s="110">
        <f t="shared" si="2"/>
        <v>645.55382699999996</v>
      </c>
      <c r="E25" s="110">
        <f t="shared" si="2"/>
        <v>818.55688399999997</v>
      </c>
      <c r="F25" s="110">
        <f t="shared" si="2"/>
        <v>629.06747799999994</v>
      </c>
      <c r="G25" s="110">
        <f t="shared" si="2"/>
        <v>496.73020199999996</v>
      </c>
      <c r="H25" s="110">
        <f t="shared" si="2"/>
        <v>500.22954800000002</v>
      </c>
      <c r="I25" s="110">
        <f>SUM(I23:I24)</f>
        <v>815.58409900000004</v>
      </c>
      <c r="J25" s="110">
        <f>SUM(J23:J24)</f>
        <v>840.13916399999994</v>
      </c>
      <c r="K25" s="110">
        <f>SUM(K23:K24)</f>
        <v>915.06770199999994</v>
      </c>
      <c r="L25" s="110">
        <f>SUM(L23:L24)</f>
        <v>928.45384599999988</v>
      </c>
      <c r="M25" s="110">
        <f>SUM(M23:M24)</f>
        <v>1062.078906</v>
      </c>
      <c r="N25" s="110">
        <f>SUM(B25:M25)</f>
        <v>9040.4193380000015</v>
      </c>
    </row>
    <row r="26" spans="1:16">
      <c r="A26" s="101"/>
      <c r="B26" s="102"/>
      <c r="C26" s="102"/>
      <c r="D26" s="102"/>
      <c r="E26" s="102"/>
      <c r="F26" s="102"/>
      <c r="G26" s="102"/>
      <c r="H26" s="102"/>
      <c r="I26" s="102"/>
      <c r="J26" s="110"/>
      <c r="K26" s="110"/>
      <c r="L26" s="110"/>
      <c r="M26" s="110"/>
      <c r="N26" s="110"/>
    </row>
    <row r="27" spans="1:16">
      <c r="A27" s="115" t="s">
        <v>101</v>
      </c>
      <c r="B27" s="102"/>
      <c r="C27" s="102"/>
      <c r="D27" s="102"/>
      <c r="E27" s="102"/>
      <c r="F27" s="102"/>
      <c r="G27" s="102"/>
      <c r="H27" s="102"/>
      <c r="I27" s="102"/>
      <c r="J27" s="110"/>
      <c r="K27" s="110"/>
      <c r="L27" s="110"/>
      <c r="M27" s="110"/>
      <c r="N27" s="110"/>
    </row>
    <row r="28" spans="1:16">
      <c r="A28" s="101" t="s">
        <v>33</v>
      </c>
      <c r="B28" s="102">
        <v>1225.23951599</v>
      </c>
      <c r="C28" s="102">
        <v>1172.3891472999999</v>
      </c>
      <c r="D28" s="102">
        <v>1029.489826</v>
      </c>
      <c r="E28" s="102">
        <v>1252.590813</v>
      </c>
      <c r="F28" s="102">
        <v>1285.537366</v>
      </c>
      <c r="G28" s="102">
        <v>956.85842000000025</v>
      </c>
      <c r="H28" s="102">
        <v>1109.797648</v>
      </c>
      <c r="I28" s="102">
        <v>1293.8131230000001</v>
      </c>
      <c r="J28" s="102">
        <v>1303.931703</v>
      </c>
      <c r="K28" s="102">
        <v>1302.5332701999998</v>
      </c>
      <c r="L28" s="102">
        <v>1236.0938548000001</v>
      </c>
      <c r="M28" s="102">
        <v>1268.263645</v>
      </c>
      <c r="N28" s="110">
        <f>SUM(B28:M28)</f>
        <v>14436.538332289998</v>
      </c>
    </row>
    <row r="29" spans="1:16">
      <c r="A29" s="101" t="s">
        <v>65</v>
      </c>
      <c r="B29" s="102">
        <v>1363.4900835254396</v>
      </c>
      <c r="C29" s="102">
        <v>910.20548499999995</v>
      </c>
      <c r="D29" s="102">
        <v>1016.2637294537799</v>
      </c>
      <c r="E29" s="102">
        <v>1086.5407660000008</v>
      </c>
      <c r="F29" s="102">
        <v>1087.4828955462199</v>
      </c>
      <c r="G29" s="102">
        <v>1338.1386799999993</v>
      </c>
      <c r="H29" s="102">
        <v>1444.4889670000005</v>
      </c>
      <c r="I29" s="102">
        <v>1429.0038269999998</v>
      </c>
      <c r="J29" s="102">
        <v>1359.8054120000002</v>
      </c>
      <c r="K29" s="102">
        <v>1450.4295509999997</v>
      </c>
      <c r="L29" s="102">
        <v>1394.03521</v>
      </c>
      <c r="M29" s="102">
        <v>1521.6241349999996</v>
      </c>
      <c r="N29" s="110">
        <f>SUM(B29:M29)</f>
        <v>15401.50874152544</v>
      </c>
    </row>
    <row r="30" spans="1:16">
      <c r="A30" s="101" t="s">
        <v>67</v>
      </c>
      <c r="B30" s="102">
        <v>647.53806899999995</v>
      </c>
      <c r="C30" s="102">
        <v>518.89224800000011</v>
      </c>
      <c r="D30" s="102">
        <v>424.87954300000001</v>
      </c>
      <c r="E30" s="102">
        <v>622.71181799999999</v>
      </c>
      <c r="F30" s="102">
        <v>598.09901500000001</v>
      </c>
      <c r="G30" s="102">
        <v>578.61426600000004</v>
      </c>
      <c r="H30" s="102">
        <v>658.4417719999999</v>
      </c>
      <c r="I30" s="102">
        <v>683.79676899999993</v>
      </c>
      <c r="J30" s="102">
        <v>656.83545700000002</v>
      </c>
      <c r="K30" s="102">
        <v>721.98352199999988</v>
      </c>
      <c r="L30" s="102">
        <v>594.40695500000004</v>
      </c>
      <c r="M30" s="102">
        <v>703.55694200000005</v>
      </c>
      <c r="N30" s="110">
        <f>SUM(B30:M30)</f>
        <v>7409.7563759999994</v>
      </c>
    </row>
    <row r="31" spans="1:16">
      <c r="A31" s="115" t="s">
        <v>35</v>
      </c>
      <c r="B31" s="110">
        <f t="shared" ref="B31:M31" si="3">SUM(B28:B30)</f>
        <v>3236.2676685154393</v>
      </c>
      <c r="C31" s="110">
        <f t="shared" si="3"/>
        <v>2601.4868802999999</v>
      </c>
      <c r="D31" s="110">
        <f t="shared" si="3"/>
        <v>2470.6330984537799</v>
      </c>
      <c r="E31" s="110">
        <f t="shared" si="3"/>
        <v>2961.8433970000006</v>
      </c>
      <c r="F31" s="110">
        <f t="shared" si="3"/>
        <v>2971.1192765462201</v>
      </c>
      <c r="G31" s="110">
        <f t="shared" si="3"/>
        <v>2873.6113659999996</v>
      </c>
      <c r="H31" s="110">
        <f t="shared" si="3"/>
        <v>3212.7283870000001</v>
      </c>
      <c r="I31" s="110">
        <f t="shared" si="3"/>
        <v>3406.6137189999999</v>
      </c>
      <c r="J31" s="110">
        <f t="shared" si="3"/>
        <v>3320.572572</v>
      </c>
      <c r="K31" s="110">
        <f t="shared" si="3"/>
        <v>3474.9463431999998</v>
      </c>
      <c r="L31" s="110">
        <f t="shared" si="3"/>
        <v>3224.5360198000003</v>
      </c>
      <c r="M31" s="110">
        <f t="shared" si="3"/>
        <v>3493.4447219999997</v>
      </c>
      <c r="N31" s="110">
        <f>SUM(B31:M31)</f>
        <v>37247.803449815445</v>
      </c>
    </row>
    <row r="32" spans="1:16">
      <c r="A32" s="101" t="s">
        <v>66</v>
      </c>
      <c r="B32" s="110">
        <v>221.21643397899999</v>
      </c>
      <c r="C32" s="110">
        <v>226.077867352</v>
      </c>
      <c r="D32" s="110">
        <v>192.73218394</v>
      </c>
      <c r="E32" s="110">
        <v>226.894742339</v>
      </c>
      <c r="F32" s="110">
        <v>211.68782451500005</v>
      </c>
      <c r="G32" s="110">
        <v>237.54492393000001</v>
      </c>
      <c r="H32" s="110">
        <v>254.42491101599998</v>
      </c>
      <c r="I32" s="110">
        <v>223.088937585</v>
      </c>
      <c r="J32" s="110">
        <v>136.55062559400002</v>
      </c>
      <c r="K32" s="110">
        <v>271.96544842200001</v>
      </c>
      <c r="L32" s="110">
        <v>234.04478932599997</v>
      </c>
      <c r="M32" s="110">
        <v>188.18056007999999</v>
      </c>
      <c r="N32" s="110">
        <f>SUM(B32:M32)</f>
        <v>2624.4092480779996</v>
      </c>
    </row>
    <row r="34" spans="1:14">
      <c r="A34" s="115" t="s">
        <v>103</v>
      </c>
      <c r="B34" s="102"/>
      <c r="C34" s="102"/>
      <c r="D34" s="102"/>
      <c r="E34" s="102"/>
      <c r="F34" s="102"/>
      <c r="G34" s="102"/>
      <c r="H34" s="102"/>
      <c r="I34" s="102"/>
      <c r="J34" s="110"/>
      <c r="K34" s="110"/>
      <c r="L34" s="110"/>
      <c r="M34" s="110"/>
      <c r="N34" s="110"/>
    </row>
    <row r="35" spans="1:14">
      <c r="A35" s="101" t="s">
        <v>41</v>
      </c>
      <c r="B35" s="102">
        <v>7.2293940000000001</v>
      </c>
      <c r="C35" s="102">
        <v>6.591119</v>
      </c>
      <c r="D35" s="102">
        <v>5.8754089999999994</v>
      </c>
      <c r="E35" s="102">
        <v>2.9119950000000001</v>
      </c>
      <c r="F35" s="102">
        <v>6.7405919999999995</v>
      </c>
      <c r="G35" s="102">
        <v>6.6044530000000004</v>
      </c>
      <c r="H35" s="102">
        <v>5.6165750000000001</v>
      </c>
      <c r="I35" s="102">
        <v>6.5587089999999995</v>
      </c>
      <c r="J35" s="102">
        <v>7.163875</v>
      </c>
      <c r="K35" s="102">
        <v>7.2963360000000002</v>
      </c>
      <c r="L35" s="102">
        <v>6.4843059999999992</v>
      </c>
      <c r="M35" s="102">
        <v>6.0600010000000006</v>
      </c>
      <c r="N35" s="110">
        <f>SUM(B35:M35)</f>
        <v>75.132763999999995</v>
      </c>
    </row>
    <row r="36" spans="1:14">
      <c r="A36" s="101" t="s">
        <v>42</v>
      </c>
      <c r="B36" s="102">
        <v>1099.7920529999999</v>
      </c>
      <c r="C36" s="102">
        <v>961.06292700000017</v>
      </c>
      <c r="D36" s="102">
        <v>1009.6226889999998</v>
      </c>
      <c r="E36" s="102">
        <v>1104.621985</v>
      </c>
      <c r="F36" s="102">
        <v>1006.570412</v>
      </c>
      <c r="G36" s="102">
        <v>987.67497000000003</v>
      </c>
      <c r="H36" s="102">
        <v>1462.979891</v>
      </c>
      <c r="I36" s="102">
        <v>1468.1117940000004</v>
      </c>
      <c r="J36" s="102">
        <v>1433.9221779999996</v>
      </c>
      <c r="K36" s="102">
        <v>1440.324924</v>
      </c>
      <c r="L36" s="102">
        <v>1392.2739750000001</v>
      </c>
      <c r="M36" s="102">
        <v>1503.7167949999998</v>
      </c>
      <c r="N36" s="110">
        <f>SUM(B36:M36)</f>
        <v>14870.674593</v>
      </c>
    </row>
    <row r="37" spans="1:14">
      <c r="A37" s="115" t="s">
        <v>43</v>
      </c>
      <c r="B37" s="110">
        <f t="shared" ref="B37:H37" si="4">SUM(B35:B36)</f>
        <v>1107.0214469999999</v>
      </c>
      <c r="C37" s="110">
        <f t="shared" si="4"/>
        <v>967.65404600000022</v>
      </c>
      <c r="D37" s="110">
        <f t="shared" si="4"/>
        <v>1015.4980979999998</v>
      </c>
      <c r="E37" s="110">
        <f t="shared" si="4"/>
        <v>1107.5339799999999</v>
      </c>
      <c r="F37" s="110">
        <f t="shared" si="4"/>
        <v>1013.311004</v>
      </c>
      <c r="G37" s="110">
        <f t="shared" si="4"/>
        <v>994.27942300000007</v>
      </c>
      <c r="H37" s="110">
        <f t="shared" si="4"/>
        <v>1468.596466</v>
      </c>
      <c r="I37" s="110">
        <f>SUM(I35:I36)</f>
        <v>1474.6705030000003</v>
      </c>
      <c r="J37" s="110">
        <f>SUM(J35:J36)</f>
        <v>1441.0860529999995</v>
      </c>
      <c r="K37" s="110">
        <f>SUM(K35:K36)</f>
        <v>1447.6212600000001</v>
      </c>
      <c r="L37" s="110">
        <f>SUM(L35:L36)</f>
        <v>1398.7582810000001</v>
      </c>
      <c r="M37" s="110">
        <f>SUM(M35:M36)</f>
        <v>1509.7767959999999</v>
      </c>
      <c r="N37" s="110">
        <f>SUM(B37:M37)</f>
        <v>14945.807357</v>
      </c>
    </row>
    <row r="38" spans="1:14">
      <c r="A38" s="101"/>
      <c r="B38" s="102"/>
      <c r="C38" s="102"/>
      <c r="D38" s="102"/>
      <c r="E38" s="102"/>
      <c r="F38" s="102"/>
      <c r="G38" s="102"/>
      <c r="H38" s="102"/>
      <c r="I38" s="102"/>
      <c r="J38" s="110"/>
      <c r="K38" s="110"/>
      <c r="L38" s="110"/>
      <c r="M38" s="110"/>
      <c r="N38" s="110"/>
    </row>
    <row r="39" spans="1:14">
      <c r="A39" s="115" t="s">
        <v>119</v>
      </c>
      <c r="B39" s="102"/>
      <c r="C39" s="102"/>
      <c r="D39" s="102"/>
      <c r="E39" s="102"/>
      <c r="F39" s="102"/>
      <c r="G39" s="102"/>
      <c r="H39" s="102"/>
      <c r="I39" s="102"/>
      <c r="J39" s="110"/>
      <c r="K39" s="110"/>
      <c r="L39" s="110"/>
      <c r="M39" s="110"/>
      <c r="N39" s="110"/>
    </row>
    <row r="40" spans="1:14">
      <c r="A40" s="101" t="s">
        <v>29</v>
      </c>
      <c r="B40" s="102">
        <v>41.290164000000004</v>
      </c>
      <c r="C40" s="102">
        <v>118.74333999999999</v>
      </c>
      <c r="D40" s="102">
        <v>304.13226900000001</v>
      </c>
      <c r="E40" s="102">
        <v>319.24290100000002</v>
      </c>
      <c r="F40" s="102">
        <v>298.83913699999999</v>
      </c>
      <c r="G40" s="102">
        <v>411.27388000000002</v>
      </c>
      <c r="H40" s="102">
        <v>534.76956500000006</v>
      </c>
      <c r="I40" s="102">
        <v>545.20059900000001</v>
      </c>
      <c r="J40" s="102">
        <v>673.92314699999997</v>
      </c>
      <c r="K40" s="102">
        <v>852.20130100000006</v>
      </c>
      <c r="L40" s="102">
        <v>747.54981599999996</v>
      </c>
      <c r="M40" s="102">
        <v>710.68587100000002</v>
      </c>
      <c r="N40" s="110">
        <f>SUM(B40:M40)</f>
        <v>5557.8519900000001</v>
      </c>
    </row>
    <row r="41" spans="1:14">
      <c r="A41" s="101" t="s">
        <v>30</v>
      </c>
      <c r="B41" s="102">
        <v>826.13667100000009</v>
      </c>
      <c r="C41" s="102">
        <v>736.55727899999988</v>
      </c>
      <c r="D41" s="102">
        <v>481.146433</v>
      </c>
      <c r="E41" s="102">
        <v>480.39823000000001</v>
      </c>
      <c r="F41" s="102">
        <v>479.14079599999991</v>
      </c>
      <c r="G41" s="102">
        <v>545.88692200000003</v>
      </c>
      <c r="H41" s="102">
        <v>853.28815499999996</v>
      </c>
      <c r="I41" s="102">
        <v>819.41524000000004</v>
      </c>
      <c r="J41" s="102">
        <v>809.25573099999997</v>
      </c>
      <c r="K41" s="102">
        <v>792.59827099999995</v>
      </c>
      <c r="L41" s="102">
        <v>761.39534499999991</v>
      </c>
      <c r="M41" s="102">
        <v>824.61103299999991</v>
      </c>
      <c r="N41" s="110">
        <f>SUM(B41:M41)</f>
        <v>8409.8301059999994</v>
      </c>
    </row>
    <row r="42" spans="1:14">
      <c r="A42" s="101" t="s">
        <v>72</v>
      </c>
      <c r="B42" s="102">
        <v>1058.8969999999999</v>
      </c>
      <c r="C42" s="102">
        <v>1102.4000000000001</v>
      </c>
      <c r="D42" s="102">
        <v>1062.922</v>
      </c>
      <c r="E42" s="102">
        <v>1098.1690000000001</v>
      </c>
      <c r="F42" s="102">
        <v>1111.8340000000001</v>
      </c>
      <c r="G42" s="102">
        <v>1079.385</v>
      </c>
      <c r="H42" s="102">
        <v>1113.1400000000001</v>
      </c>
      <c r="I42" s="102">
        <v>1080.0630000000001</v>
      </c>
      <c r="J42" s="102">
        <v>1117.721</v>
      </c>
      <c r="K42" s="102">
        <v>1099.9380000000001</v>
      </c>
      <c r="L42" s="102">
        <v>1009.915</v>
      </c>
      <c r="M42" s="102">
        <v>1092.3689999999999</v>
      </c>
      <c r="N42" s="110">
        <f>SUM(B42:M42)</f>
        <v>13026.753000000002</v>
      </c>
    </row>
    <row r="43" spans="1:14">
      <c r="A43" s="115" t="s">
        <v>31</v>
      </c>
      <c r="B43" s="110">
        <f t="shared" ref="B43:H43" si="5">SUM(B40:B42)</f>
        <v>1926.3238350000001</v>
      </c>
      <c r="C43" s="110">
        <f t="shared" si="5"/>
        <v>1957.700619</v>
      </c>
      <c r="D43" s="110">
        <f t="shared" si="5"/>
        <v>1848.2007020000001</v>
      </c>
      <c r="E43" s="110">
        <f t="shared" si="5"/>
        <v>1897.8101310000002</v>
      </c>
      <c r="F43" s="110">
        <f t="shared" si="5"/>
        <v>1889.8139329999999</v>
      </c>
      <c r="G43" s="110">
        <f t="shared" si="5"/>
        <v>2036.5458020000001</v>
      </c>
      <c r="H43" s="110">
        <f t="shared" si="5"/>
        <v>2501.1977200000001</v>
      </c>
      <c r="I43" s="110">
        <f>SUM(I40:I42)</f>
        <v>2444.6788390000002</v>
      </c>
      <c r="J43" s="110">
        <f>SUM(J40:J42)</f>
        <v>2600.8998780000002</v>
      </c>
      <c r="K43" s="110">
        <f>SUM(K40:K42)</f>
        <v>2744.737572</v>
      </c>
      <c r="L43" s="110">
        <f>SUM(L40:L42)</f>
        <v>2518.8601609999996</v>
      </c>
      <c r="M43" s="110">
        <f>SUM(M40:M42)</f>
        <v>2627.6659039999995</v>
      </c>
      <c r="N43" s="110">
        <f>SUM(B43:M43)</f>
        <v>26994.435096000001</v>
      </c>
    </row>
    <row r="44" spans="1:14">
      <c r="A44" s="101"/>
      <c r="B44" s="102"/>
      <c r="C44" s="102"/>
      <c r="D44" s="102"/>
      <c r="E44" s="102"/>
      <c r="G44" s="102"/>
      <c r="H44" s="102"/>
      <c r="I44" s="102"/>
      <c r="J44" s="110"/>
      <c r="K44" s="110"/>
      <c r="L44" s="110"/>
      <c r="M44" s="110"/>
      <c r="N44" s="110"/>
    </row>
    <row r="45" spans="1:14">
      <c r="A45" s="115" t="s">
        <v>44</v>
      </c>
      <c r="B45" s="102"/>
      <c r="C45" s="102"/>
      <c r="D45" s="102"/>
      <c r="E45" s="102"/>
      <c r="F45" s="102"/>
      <c r="G45" s="102"/>
      <c r="H45" s="102"/>
      <c r="I45" s="102"/>
      <c r="J45" s="110"/>
      <c r="K45" s="110"/>
      <c r="L45" s="110"/>
      <c r="M45" s="110"/>
      <c r="N45" s="110"/>
    </row>
    <row r="46" spans="1:14">
      <c r="A46" s="101" t="s">
        <v>45</v>
      </c>
      <c r="B46" s="102">
        <v>2772.5457610000003</v>
      </c>
      <c r="C46" s="102">
        <v>2837.0351999999998</v>
      </c>
      <c r="D46" s="102">
        <v>2689.8450470000002</v>
      </c>
      <c r="E46" s="102">
        <v>2742.6869719999991</v>
      </c>
      <c r="F46" s="102">
        <v>2872.5195049999993</v>
      </c>
      <c r="G46" s="102">
        <v>2841.148737</v>
      </c>
      <c r="H46" s="102">
        <v>3109.8282810000005</v>
      </c>
      <c r="I46" s="102">
        <v>2997.1389679999997</v>
      </c>
      <c r="J46" s="102">
        <v>3019.2726990000001</v>
      </c>
      <c r="K46" s="102">
        <v>3042.219497</v>
      </c>
      <c r="L46" s="102">
        <v>2777.2965510000004</v>
      </c>
      <c r="M46" s="102">
        <v>3055.5300749999997</v>
      </c>
      <c r="N46" s="110">
        <f>SUM(B46:M46)</f>
        <v>34757.067293</v>
      </c>
    </row>
    <row r="47" spans="1:14">
      <c r="A47" s="101" t="s">
        <v>46</v>
      </c>
      <c r="B47" s="102">
        <v>2248.4462990000002</v>
      </c>
      <c r="C47" s="102">
        <v>2678.141932</v>
      </c>
      <c r="D47" s="102">
        <v>2529.5068379999998</v>
      </c>
      <c r="E47" s="102">
        <v>2283.9304559999996</v>
      </c>
      <c r="F47" s="102">
        <v>2237.0974530000003</v>
      </c>
      <c r="G47" s="102">
        <v>2361.4242520000003</v>
      </c>
      <c r="H47" s="102">
        <v>2644.22048</v>
      </c>
      <c r="I47" s="102">
        <v>2450.8112259999998</v>
      </c>
      <c r="J47" s="102">
        <v>2509.5780210000003</v>
      </c>
      <c r="K47" s="102">
        <v>2234.8320589999998</v>
      </c>
      <c r="L47" s="102">
        <v>2012.7943740000001</v>
      </c>
      <c r="M47" s="102">
        <v>2073.6409659999999</v>
      </c>
      <c r="N47" s="110">
        <f>SUM(B47:M47)</f>
        <v>28264.424356</v>
      </c>
    </row>
    <row r="48" spans="1:14">
      <c r="A48" s="115" t="s">
        <v>47</v>
      </c>
      <c r="B48" s="110">
        <f>SUM(B46:B47)</f>
        <v>5020.9920600000005</v>
      </c>
      <c r="C48" s="110">
        <f t="shared" ref="C48:H48" si="6">SUM(C46:C47)</f>
        <v>5515.1771319999998</v>
      </c>
      <c r="D48" s="110">
        <f t="shared" si="6"/>
        <v>5219.351885</v>
      </c>
      <c r="E48" s="110">
        <f t="shared" si="6"/>
        <v>5026.6174279999987</v>
      </c>
      <c r="F48" s="110">
        <f t="shared" si="6"/>
        <v>5109.6169579999996</v>
      </c>
      <c r="G48" s="110">
        <f>SUM(G46:G47)</f>
        <v>5202.5729890000002</v>
      </c>
      <c r="H48" s="110">
        <f t="shared" si="6"/>
        <v>5754.048761</v>
      </c>
      <c r="I48" s="110">
        <f>SUM(I46:I47)</f>
        <v>5447.9501939999991</v>
      </c>
      <c r="J48" s="110">
        <f>SUM(J46:J47)</f>
        <v>5528.8507200000004</v>
      </c>
      <c r="K48" s="110">
        <f>SUM(K46:K47)</f>
        <v>5277.0515560000003</v>
      </c>
      <c r="L48" s="110">
        <f>SUM(L46:L47)</f>
        <v>4790.0909250000004</v>
      </c>
      <c r="M48" s="110">
        <f>SUM(M46:M47)</f>
        <v>5129.1710409999996</v>
      </c>
      <c r="N48" s="110">
        <f>SUM(B48:M48)</f>
        <v>63021.491648999996</v>
      </c>
    </row>
    <row r="49" spans="1:14">
      <c r="A49" s="101"/>
      <c r="B49" s="102"/>
      <c r="C49" s="102"/>
      <c r="D49" s="102"/>
      <c r="E49" s="102"/>
      <c r="F49" s="102"/>
      <c r="G49" s="102"/>
      <c r="H49" s="102"/>
      <c r="I49" s="102"/>
      <c r="J49" s="110"/>
      <c r="K49" s="110"/>
      <c r="L49" s="110"/>
      <c r="M49" s="110"/>
      <c r="N49" s="110"/>
    </row>
    <row r="50" spans="1:14">
      <c r="A50" s="115" t="s">
        <v>115</v>
      </c>
      <c r="B50" s="110">
        <v>1632.7803145180003</v>
      </c>
      <c r="C50" s="110">
        <v>1692.4648874290001</v>
      </c>
      <c r="D50" s="110">
        <v>1649.7647872510001</v>
      </c>
      <c r="E50" s="110">
        <v>1676.7377388329992</v>
      </c>
      <c r="F50" s="110">
        <v>1710.4046799309999</v>
      </c>
      <c r="G50" s="110">
        <v>1667.7173194690001</v>
      </c>
      <c r="H50" s="110">
        <v>1749.1706968859996</v>
      </c>
      <c r="I50" s="110">
        <v>1688.4710657080002</v>
      </c>
      <c r="J50" s="110">
        <v>1710.1097752049998</v>
      </c>
      <c r="K50" s="110">
        <v>1733.4432123590004</v>
      </c>
      <c r="L50" s="110">
        <v>1563.1472684369996</v>
      </c>
      <c r="M50" s="110">
        <v>1690.1995532519998</v>
      </c>
      <c r="N50" s="110">
        <f>SUM(B50:M50)</f>
        <v>20164.411299277999</v>
      </c>
    </row>
    <row r="51" spans="1:14">
      <c r="A51" s="101"/>
      <c r="B51" s="102"/>
      <c r="C51" s="102"/>
      <c r="D51" s="102"/>
      <c r="E51" s="102"/>
      <c r="F51" s="102"/>
      <c r="G51" s="102"/>
      <c r="H51" s="102"/>
      <c r="I51" s="102"/>
      <c r="J51" s="110"/>
      <c r="K51" s="110"/>
      <c r="L51" s="110"/>
      <c r="M51" s="110"/>
      <c r="N51" s="110"/>
    </row>
    <row r="52" spans="1:14">
      <c r="A52" s="117" t="s">
        <v>49</v>
      </c>
      <c r="B52" s="138">
        <f t="shared" ref="B52:M52" si="7">+B50+B48+B43+B37+B32+B31+B25+B20</f>
        <v>19884.70228001244</v>
      </c>
      <c r="C52" s="138">
        <f t="shared" si="7"/>
        <v>18970.065593080999</v>
      </c>
      <c r="D52" s="138">
        <f t="shared" si="7"/>
        <v>18400.070581644781</v>
      </c>
      <c r="E52" s="138">
        <f t="shared" si="7"/>
        <v>19383.628301172001</v>
      </c>
      <c r="F52" s="138">
        <f t="shared" si="7"/>
        <v>18438.577153992221</v>
      </c>
      <c r="G52" s="138">
        <f t="shared" si="7"/>
        <v>18214.419025399002</v>
      </c>
      <c r="H52" s="138">
        <f t="shared" si="7"/>
        <v>20957.634489901997</v>
      </c>
      <c r="I52" s="138">
        <f t="shared" si="7"/>
        <v>21483.417357293001</v>
      </c>
      <c r="J52" s="138">
        <f t="shared" si="7"/>
        <v>21482.721787798997</v>
      </c>
      <c r="K52" s="138">
        <f t="shared" si="7"/>
        <v>21708.556093981002</v>
      </c>
      <c r="L52" s="138">
        <f t="shared" si="7"/>
        <v>20443.024290563</v>
      </c>
      <c r="M52" s="138">
        <f t="shared" si="7"/>
        <v>22336.828482331999</v>
      </c>
      <c r="N52" s="110">
        <f>SUM(B52:M52)</f>
        <v>241703.64543717145</v>
      </c>
    </row>
    <row r="53" spans="1:14">
      <c r="A53" s="247" t="s">
        <v>68</v>
      </c>
      <c r="B53" s="248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9"/>
    </row>
    <row r="54" spans="1:14" s="155" customFormat="1" ht="33" customHeight="1">
      <c r="A54" s="250" t="s">
        <v>121</v>
      </c>
      <c r="B54" s="251"/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2"/>
    </row>
    <row r="55" spans="1:14">
      <c r="C55" s="165"/>
      <c r="D55" s="140"/>
      <c r="E55" s="140"/>
      <c r="F55" s="140"/>
      <c r="G55" s="140"/>
      <c r="H55" s="140"/>
      <c r="I55" s="140"/>
      <c r="J55" s="140"/>
      <c r="K55" s="141"/>
    </row>
  </sheetData>
  <mergeCells count="6">
    <mergeCell ref="A2:B6"/>
    <mergeCell ref="C2:H2"/>
    <mergeCell ref="I7:N7"/>
    <mergeCell ref="A8:N8"/>
    <mergeCell ref="A53:N53"/>
    <mergeCell ref="A54:N5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12C1-63C9-411E-AB59-A92CB45F0398}">
  <dimension ref="A2:P55"/>
  <sheetViews>
    <sheetView workbookViewId="0">
      <selection activeCell="F14" sqref="F14"/>
    </sheetView>
  </sheetViews>
  <sheetFormatPr defaultRowHeight="15"/>
  <cols>
    <col min="1" max="1" width="37.42578125" style="100" customWidth="1"/>
    <col min="2" max="10" width="10.85546875" style="100" customWidth="1"/>
    <col min="11" max="12" width="6.7109375" style="108" bestFit="1" customWidth="1"/>
    <col min="13" max="13" width="7.7109375" style="108" bestFit="1" customWidth="1"/>
    <col min="14" max="14" width="10.7109375" style="108" bestFit="1" customWidth="1"/>
    <col min="15" max="15" width="9.140625" style="100"/>
    <col min="16" max="16" width="22.7109375" style="185" customWidth="1"/>
    <col min="17" max="16384" width="9.140625" style="100"/>
  </cols>
  <sheetData>
    <row r="2" spans="1:16" ht="20.25">
      <c r="A2" s="225"/>
      <c r="B2" s="225"/>
      <c r="C2" s="242" t="s">
        <v>0</v>
      </c>
      <c r="D2" s="242"/>
      <c r="E2" s="242"/>
      <c r="F2" s="242"/>
      <c r="G2" s="242"/>
      <c r="H2" s="242"/>
    </row>
    <row r="3" spans="1:16">
      <c r="A3" s="225"/>
      <c r="B3" s="225"/>
    </row>
    <row r="4" spans="1:16">
      <c r="A4" s="225"/>
      <c r="B4" s="225"/>
    </row>
    <row r="5" spans="1:16">
      <c r="A5" s="225"/>
      <c r="B5" s="225"/>
    </row>
    <row r="6" spans="1:16">
      <c r="A6" s="225"/>
      <c r="B6" s="225"/>
    </row>
    <row r="7" spans="1:16" ht="18.75">
      <c r="A7" s="163" t="s">
        <v>122</v>
      </c>
      <c r="B7" s="164"/>
      <c r="C7" s="164"/>
      <c r="D7" s="164"/>
      <c r="E7" s="164"/>
      <c r="F7" s="164"/>
      <c r="G7" s="164"/>
      <c r="H7" s="164"/>
      <c r="I7" s="243" t="s">
        <v>2</v>
      </c>
      <c r="J7" s="243"/>
      <c r="K7" s="243"/>
      <c r="L7" s="243"/>
      <c r="M7" s="243"/>
      <c r="N7" s="243"/>
    </row>
    <row r="8" spans="1:16" ht="19.5" customHeight="1">
      <c r="A8" s="244" t="s">
        <v>3</v>
      </c>
      <c r="B8" s="245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6"/>
    </row>
    <row r="9" spans="1:16" ht="18.75">
      <c r="A9" s="112" t="s">
        <v>51</v>
      </c>
      <c r="B9" s="113" t="s">
        <v>52</v>
      </c>
      <c r="C9" s="114" t="s">
        <v>53</v>
      </c>
      <c r="D9" s="114" t="s">
        <v>54</v>
      </c>
      <c r="E9" s="114" t="s">
        <v>55</v>
      </c>
      <c r="F9" s="114" t="s">
        <v>56</v>
      </c>
      <c r="G9" s="114" t="s">
        <v>98</v>
      </c>
      <c r="H9" s="114" t="s">
        <v>58</v>
      </c>
      <c r="I9" s="114" t="s">
        <v>59</v>
      </c>
      <c r="J9" s="114" t="s">
        <v>60</v>
      </c>
      <c r="K9" s="134" t="s">
        <v>61</v>
      </c>
      <c r="L9" s="134" t="s">
        <v>62</v>
      </c>
      <c r="M9" s="134" t="s">
        <v>63</v>
      </c>
      <c r="N9" s="134" t="s">
        <v>64</v>
      </c>
    </row>
    <row r="10" spans="1:16">
      <c r="A10" s="115" t="s">
        <v>17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2"/>
      <c r="L10" s="102"/>
      <c r="M10" s="102"/>
      <c r="N10" s="102"/>
    </row>
    <row r="11" spans="1:16">
      <c r="A11" s="101" t="s">
        <v>22</v>
      </c>
      <c r="B11" s="102">
        <v>246.52600000000001</v>
      </c>
      <c r="C11" s="102">
        <v>337.41500000000002</v>
      </c>
      <c r="D11" s="102">
        <v>512.16500000000008</v>
      </c>
      <c r="E11" s="102">
        <v>436.62399999999991</v>
      </c>
      <c r="F11" s="102">
        <v>317.71600000000001</v>
      </c>
      <c r="G11" s="102">
        <v>375.66100000000006</v>
      </c>
      <c r="H11" s="102">
        <v>435.15199999999999</v>
      </c>
      <c r="I11" s="102">
        <v>578.86</v>
      </c>
      <c r="J11" s="102">
        <v>552.79099999999994</v>
      </c>
      <c r="K11" s="102">
        <v>589.16099999999983</v>
      </c>
      <c r="L11" s="102">
        <v>518.24</v>
      </c>
      <c r="M11" s="102">
        <v>568.90800000000013</v>
      </c>
      <c r="N11" s="110">
        <f>SUM(B11:M11)</f>
        <v>5469.2190000000001</v>
      </c>
    </row>
    <row r="12" spans="1:16">
      <c r="A12" s="101" t="s">
        <v>18</v>
      </c>
      <c r="B12" s="102">
        <v>578.30600000000004</v>
      </c>
      <c r="C12" s="102">
        <v>769.43500000000006</v>
      </c>
      <c r="D12" s="102">
        <v>1040.8979999999999</v>
      </c>
      <c r="E12" s="102">
        <v>1091.864</v>
      </c>
      <c r="F12" s="102">
        <v>834.43799999999987</v>
      </c>
      <c r="G12" s="102">
        <v>899.17899999999997</v>
      </c>
      <c r="H12" s="102">
        <v>1048.9259999999999</v>
      </c>
      <c r="I12" s="102">
        <v>1123.5360000000001</v>
      </c>
      <c r="J12" s="102">
        <v>1173.2619999999999</v>
      </c>
      <c r="K12" s="102">
        <v>1186.5</v>
      </c>
      <c r="L12" s="102">
        <v>912.28</v>
      </c>
      <c r="M12" s="102">
        <v>944.42700000000002</v>
      </c>
      <c r="N12" s="110">
        <f t="shared" ref="N12:N19" si="0">SUM(B12:M12)</f>
        <v>11603.051000000001</v>
      </c>
    </row>
    <row r="13" spans="1:16">
      <c r="A13" s="101" t="s">
        <v>21</v>
      </c>
      <c r="B13" s="102">
        <v>305.29899999999998</v>
      </c>
      <c r="C13" s="102">
        <v>319.25199999999995</v>
      </c>
      <c r="D13" s="102">
        <v>532.99599999999998</v>
      </c>
      <c r="E13" s="102">
        <v>580.173</v>
      </c>
      <c r="F13" s="102">
        <v>562.17899999999997</v>
      </c>
      <c r="G13" s="102">
        <v>440.15</v>
      </c>
      <c r="H13" s="102">
        <v>585.29700000000003</v>
      </c>
      <c r="I13" s="102">
        <v>679.58199999999999</v>
      </c>
      <c r="J13" s="102">
        <v>708.65899999999988</v>
      </c>
      <c r="K13" s="102">
        <v>723.07899999999995</v>
      </c>
      <c r="L13" s="102">
        <v>657.23799999999994</v>
      </c>
      <c r="M13" s="102">
        <v>664.60700000000008</v>
      </c>
      <c r="N13" s="110">
        <f t="shared" si="0"/>
        <v>6758.5109999999995</v>
      </c>
    </row>
    <row r="14" spans="1:16">
      <c r="A14" s="101" t="s">
        <v>19</v>
      </c>
      <c r="B14" s="102">
        <v>505.71499999999997</v>
      </c>
      <c r="C14" s="102">
        <v>730.12300000000005</v>
      </c>
      <c r="D14" s="102">
        <v>768.85299999999995</v>
      </c>
      <c r="E14" s="102">
        <v>753.62300000000005</v>
      </c>
      <c r="F14" s="102">
        <v>640.86900000000003</v>
      </c>
      <c r="G14" s="102">
        <v>614.66399999999999</v>
      </c>
      <c r="H14" s="102">
        <v>708.83</v>
      </c>
      <c r="I14" s="102">
        <v>795.55100000000004</v>
      </c>
      <c r="J14" s="102">
        <v>870.59099999999989</v>
      </c>
      <c r="K14" s="102">
        <v>893.21300000000008</v>
      </c>
      <c r="L14" s="102">
        <v>790.36399999999992</v>
      </c>
      <c r="M14" s="102">
        <v>853.39899999999989</v>
      </c>
      <c r="N14" s="110">
        <f t="shared" si="0"/>
        <v>8925.7949999999983</v>
      </c>
    </row>
    <row r="15" spans="1:16">
      <c r="A15" s="101" t="s">
        <v>20</v>
      </c>
      <c r="B15" s="102">
        <v>457.24200000000002</v>
      </c>
      <c r="C15" s="102">
        <v>919.34000000000015</v>
      </c>
      <c r="D15" s="102">
        <v>1172.9799999999998</v>
      </c>
      <c r="E15" s="102">
        <v>1115.3149999999998</v>
      </c>
      <c r="F15" s="102">
        <v>976.50500000000011</v>
      </c>
      <c r="G15" s="102">
        <v>1025.3710000000001</v>
      </c>
      <c r="H15" s="102">
        <v>1237.21</v>
      </c>
      <c r="I15" s="102">
        <v>1359.317</v>
      </c>
      <c r="J15" s="102">
        <v>1359.048</v>
      </c>
      <c r="K15" s="102">
        <v>1320.827</v>
      </c>
      <c r="L15" s="102">
        <v>1046.6500000000001</v>
      </c>
      <c r="M15" s="102">
        <v>1191.518</v>
      </c>
      <c r="N15" s="110">
        <f t="shared" si="0"/>
        <v>13181.322999999999</v>
      </c>
    </row>
    <row r="16" spans="1:16">
      <c r="A16" s="101" t="s">
        <v>23</v>
      </c>
      <c r="B16" s="102">
        <v>0</v>
      </c>
      <c r="C16" s="102">
        <v>23.550999999999998</v>
      </c>
      <c r="D16" s="102">
        <v>64.006</v>
      </c>
      <c r="E16" s="102">
        <v>87.050000000000011</v>
      </c>
      <c r="F16" s="102">
        <v>89.197999999999979</v>
      </c>
      <c r="G16" s="102">
        <v>74.933000000000007</v>
      </c>
      <c r="H16" s="102">
        <v>84.444000000000003</v>
      </c>
      <c r="I16" s="102">
        <v>82.691000000000003</v>
      </c>
      <c r="J16" s="102">
        <v>84.343999999999994</v>
      </c>
      <c r="K16" s="102">
        <v>90.315999999999988</v>
      </c>
      <c r="L16" s="102">
        <v>79.683999999999997</v>
      </c>
      <c r="M16" s="102">
        <v>89.021000000000001</v>
      </c>
      <c r="N16" s="110">
        <f t="shared" si="0"/>
        <v>849.23800000000006</v>
      </c>
      <c r="P16" s="186"/>
    </row>
    <row r="17" spans="1:14">
      <c r="A17" s="101" t="s">
        <v>24</v>
      </c>
      <c r="B17" s="102">
        <v>53.563000000000002</v>
      </c>
      <c r="C17" s="102">
        <v>56.228999999999999</v>
      </c>
      <c r="D17" s="102">
        <v>61.048999999999999</v>
      </c>
      <c r="E17" s="102">
        <v>51.231999999999999</v>
      </c>
      <c r="F17" s="102">
        <v>56.046999999999997</v>
      </c>
      <c r="G17" s="102">
        <v>45.891999999999996</v>
      </c>
      <c r="H17" s="102">
        <v>61.006</v>
      </c>
      <c r="I17" s="102">
        <v>58.644000000000005</v>
      </c>
      <c r="J17" s="102">
        <v>57.945</v>
      </c>
      <c r="K17" s="102">
        <v>57.652999999999999</v>
      </c>
      <c r="L17" s="102">
        <v>22.416</v>
      </c>
      <c r="M17" s="102">
        <v>23.433999999999997</v>
      </c>
      <c r="N17" s="110">
        <f t="shared" si="0"/>
        <v>605.11</v>
      </c>
    </row>
    <row r="18" spans="1:14">
      <c r="A18" s="101" t="s">
        <v>25</v>
      </c>
      <c r="B18" s="102">
        <v>174.21699999999998</v>
      </c>
      <c r="C18" s="102">
        <v>196.19900000000001</v>
      </c>
      <c r="D18" s="102">
        <v>192.62499999999997</v>
      </c>
      <c r="E18" s="102">
        <v>222.43599999999995</v>
      </c>
      <c r="F18" s="102">
        <v>206.29400000000001</v>
      </c>
      <c r="G18" s="102">
        <v>188.80900000000005</v>
      </c>
      <c r="H18" s="102">
        <v>222.23599999999993</v>
      </c>
      <c r="I18" s="102">
        <v>206.41299999999995</v>
      </c>
      <c r="J18" s="102">
        <v>204.39600000000004</v>
      </c>
      <c r="K18" s="102">
        <v>210.93299999999999</v>
      </c>
      <c r="L18" s="102">
        <v>195.93400000000003</v>
      </c>
      <c r="M18" s="102">
        <v>229.96900000000002</v>
      </c>
      <c r="N18" s="110">
        <f t="shared" si="0"/>
        <v>2450.4609999999998</v>
      </c>
    </row>
    <row r="19" spans="1:14">
      <c r="A19" s="101" t="s">
        <v>99</v>
      </c>
      <c r="B19" s="102">
        <v>725.26099999999997</v>
      </c>
      <c r="C19" s="102">
        <v>959.35699999999997</v>
      </c>
      <c r="D19" s="102">
        <v>1227.3050000000001</v>
      </c>
      <c r="E19" s="102">
        <v>1024.6850000000002</v>
      </c>
      <c r="F19" s="102">
        <v>266.39699999999999</v>
      </c>
      <c r="G19" s="102">
        <v>992.05700000000002</v>
      </c>
      <c r="H19" s="102">
        <v>1278.9559999999999</v>
      </c>
      <c r="I19" s="102">
        <v>1325.0840000000001</v>
      </c>
      <c r="J19" s="102">
        <v>976.53</v>
      </c>
      <c r="K19" s="102">
        <v>1206.4359999999999</v>
      </c>
      <c r="L19" s="102">
        <v>1164.2550000000001</v>
      </c>
      <c r="M19" s="102">
        <v>1361.616</v>
      </c>
      <c r="N19" s="110">
        <f t="shared" si="0"/>
        <v>12507.939</v>
      </c>
    </row>
    <row r="20" spans="1:14">
      <c r="A20" s="115" t="s">
        <v>27</v>
      </c>
      <c r="B20" s="110">
        <f>SUM(B11:B19)</f>
        <v>3046.1290000000004</v>
      </c>
      <c r="C20" s="110">
        <f t="shared" ref="C20:M20" si="1">SUM(C11:C19)</f>
        <v>4310.9009999999998</v>
      </c>
      <c r="D20" s="110">
        <f t="shared" si="1"/>
        <v>5572.8770000000004</v>
      </c>
      <c r="E20" s="110">
        <f t="shared" si="1"/>
        <v>5363.0020000000004</v>
      </c>
      <c r="F20" s="110">
        <f t="shared" si="1"/>
        <v>3949.643</v>
      </c>
      <c r="G20" s="110">
        <f t="shared" si="1"/>
        <v>4656.7160000000003</v>
      </c>
      <c r="H20" s="110">
        <f t="shared" si="1"/>
        <v>5662.0570000000007</v>
      </c>
      <c r="I20" s="110">
        <f t="shared" si="1"/>
        <v>6209.677999999999</v>
      </c>
      <c r="J20" s="110">
        <f t="shared" si="1"/>
        <v>5987.5659999999989</v>
      </c>
      <c r="K20" s="110">
        <f t="shared" si="1"/>
        <v>6278.1179999999995</v>
      </c>
      <c r="L20" s="110">
        <f t="shared" si="1"/>
        <v>5387.0610000000006</v>
      </c>
      <c r="M20" s="110">
        <f t="shared" si="1"/>
        <v>5926.8990000000003</v>
      </c>
      <c r="N20" s="110">
        <f>SUM(N11:N19)</f>
        <v>62350.646999999997</v>
      </c>
    </row>
    <row r="21" spans="1:14">
      <c r="A21" s="101"/>
      <c r="B21" s="102"/>
      <c r="C21" s="102"/>
      <c r="D21" s="102"/>
      <c r="E21" s="102"/>
      <c r="F21" s="102"/>
      <c r="G21" s="102"/>
      <c r="H21" s="102"/>
      <c r="I21" s="102"/>
      <c r="J21" s="110"/>
      <c r="K21" s="110"/>
      <c r="L21" s="110"/>
      <c r="M21" s="110"/>
      <c r="N21" s="110"/>
    </row>
    <row r="22" spans="1:14">
      <c r="A22" s="115" t="s">
        <v>102</v>
      </c>
      <c r="B22" s="102"/>
      <c r="C22" s="102"/>
      <c r="D22" s="102"/>
      <c r="E22" s="102"/>
      <c r="F22" s="102"/>
      <c r="G22" s="102"/>
      <c r="H22" s="102"/>
      <c r="I22" s="102"/>
      <c r="J22" s="110"/>
      <c r="K22" s="110"/>
      <c r="L22" s="110"/>
      <c r="M22" s="110"/>
      <c r="N22" s="110"/>
    </row>
    <row r="23" spans="1:14">
      <c r="A23" s="101" t="s">
        <v>37</v>
      </c>
      <c r="B23" s="102">
        <v>307.60443199999997</v>
      </c>
      <c r="C23" s="102">
        <v>441.200784</v>
      </c>
      <c r="D23" s="102">
        <v>579.15932499999985</v>
      </c>
      <c r="E23" s="102">
        <v>723.80293300000017</v>
      </c>
      <c r="F23" s="102">
        <v>561.67690599999992</v>
      </c>
      <c r="G23" s="102">
        <v>769.86892499999999</v>
      </c>
      <c r="H23" s="102">
        <v>725.26189799999997</v>
      </c>
      <c r="I23" s="102">
        <v>729.44648600000005</v>
      </c>
      <c r="J23" s="102">
        <v>766.26664700000003</v>
      </c>
      <c r="K23" s="102">
        <v>917.46452670000008</v>
      </c>
      <c r="L23" s="102">
        <v>757.59893730000022</v>
      </c>
      <c r="M23" s="102">
        <v>963.53867999999989</v>
      </c>
      <c r="N23" s="110">
        <f>SUM(B23:M23)</f>
        <v>8242.89048</v>
      </c>
    </row>
    <row r="24" spans="1:14">
      <c r="A24" s="101" t="s">
        <v>38</v>
      </c>
      <c r="B24" s="102">
        <v>0</v>
      </c>
      <c r="C24" s="102">
        <v>0</v>
      </c>
      <c r="D24" s="102">
        <v>0</v>
      </c>
      <c r="E24" s="102">
        <v>0</v>
      </c>
      <c r="F24" s="102">
        <v>0</v>
      </c>
      <c r="G24" s="102">
        <v>0</v>
      </c>
      <c r="H24" s="102">
        <v>0</v>
      </c>
      <c r="I24" s="102">
        <v>0</v>
      </c>
      <c r="J24" s="102">
        <v>0</v>
      </c>
      <c r="K24" s="102">
        <v>0</v>
      </c>
      <c r="L24" s="102">
        <v>0</v>
      </c>
      <c r="M24" s="102">
        <v>0</v>
      </c>
      <c r="N24" s="110">
        <f>SUM(B24:M24)</f>
        <v>0</v>
      </c>
    </row>
    <row r="25" spans="1:14">
      <c r="A25" s="115" t="s">
        <v>39</v>
      </c>
      <c r="B25" s="110">
        <f>SUM(B23:B24)</f>
        <v>307.60443199999997</v>
      </c>
      <c r="C25" s="110">
        <f t="shared" ref="C25:M25" si="2">SUM(C23:C24)</f>
        <v>441.200784</v>
      </c>
      <c r="D25" s="110">
        <f t="shared" si="2"/>
        <v>579.15932499999985</v>
      </c>
      <c r="E25" s="110">
        <f t="shared" si="2"/>
        <v>723.80293300000017</v>
      </c>
      <c r="F25" s="110">
        <f t="shared" si="2"/>
        <v>561.67690599999992</v>
      </c>
      <c r="G25" s="110">
        <f t="shared" si="2"/>
        <v>769.86892499999999</v>
      </c>
      <c r="H25" s="110">
        <f t="shared" si="2"/>
        <v>725.26189799999997</v>
      </c>
      <c r="I25" s="110">
        <f t="shared" si="2"/>
        <v>729.44648600000005</v>
      </c>
      <c r="J25" s="110">
        <f t="shared" si="2"/>
        <v>766.26664700000003</v>
      </c>
      <c r="K25" s="110">
        <f t="shared" si="2"/>
        <v>917.46452670000008</v>
      </c>
      <c r="L25" s="110">
        <f t="shared" si="2"/>
        <v>757.59893730000022</v>
      </c>
      <c r="M25" s="110">
        <f t="shared" si="2"/>
        <v>963.53867999999989</v>
      </c>
      <c r="N25" s="110">
        <f>SUM(B25:M25)</f>
        <v>8242.89048</v>
      </c>
    </row>
    <row r="26" spans="1:14">
      <c r="A26" s="101"/>
      <c r="B26" s="102"/>
      <c r="C26" s="102"/>
      <c r="D26" s="102"/>
      <c r="E26" s="102"/>
      <c r="F26" s="102"/>
      <c r="G26" s="102"/>
      <c r="H26" s="102"/>
      <c r="I26" s="102"/>
      <c r="J26" s="110"/>
      <c r="K26" s="110"/>
      <c r="L26" s="110"/>
      <c r="M26" s="110"/>
      <c r="N26" s="110"/>
    </row>
    <row r="27" spans="1:14">
      <c r="A27" s="115" t="s">
        <v>101</v>
      </c>
      <c r="B27" s="102"/>
      <c r="C27" s="102"/>
      <c r="D27" s="102"/>
      <c r="E27" s="102"/>
      <c r="F27" s="102"/>
      <c r="G27" s="102"/>
      <c r="H27" s="102"/>
      <c r="I27" s="102"/>
      <c r="J27" s="110"/>
      <c r="K27" s="110"/>
      <c r="L27" s="110"/>
      <c r="M27" s="110"/>
      <c r="N27" s="110"/>
    </row>
    <row r="28" spans="1:14">
      <c r="A28" s="101" t="s">
        <v>33</v>
      </c>
      <c r="B28" s="102">
        <v>768.43204510347437</v>
      </c>
      <c r="C28" s="102">
        <v>907.02951098000722</v>
      </c>
      <c r="D28" s="102">
        <v>971.80884487826586</v>
      </c>
      <c r="E28" s="102">
        <v>1096.8530238005476</v>
      </c>
      <c r="F28" s="102">
        <v>827.69401368336003</v>
      </c>
      <c r="G28" s="102">
        <v>909.38610043837434</v>
      </c>
      <c r="H28" s="102">
        <v>1051.2189530000001</v>
      </c>
      <c r="I28" s="102">
        <v>1247.3110999999999</v>
      </c>
      <c r="J28" s="102">
        <v>1200.4739907000001</v>
      </c>
      <c r="K28" s="102">
        <v>1320.1734139999999</v>
      </c>
      <c r="L28" s="102">
        <v>1263.7650000000001</v>
      </c>
      <c r="M28" s="102">
        <v>1376.4490659999999</v>
      </c>
      <c r="N28" s="110">
        <f>SUM(B28:M28)</f>
        <v>12940.595062584029</v>
      </c>
    </row>
    <row r="29" spans="1:14">
      <c r="A29" s="101" t="s">
        <v>65</v>
      </c>
      <c r="B29" s="102">
        <v>815.32949709999912</v>
      </c>
      <c r="C29" s="102">
        <v>676.42607700000019</v>
      </c>
      <c r="D29" s="102">
        <v>931.42590695068327</v>
      </c>
      <c r="E29" s="102">
        <v>843.7446254537798</v>
      </c>
      <c r="F29" s="102">
        <v>935.67297745567191</v>
      </c>
      <c r="G29" s="102">
        <v>980.36738258931632</v>
      </c>
      <c r="H29" s="102">
        <v>1065.7301543106837</v>
      </c>
      <c r="I29" s="102">
        <v>1337.3942021905484</v>
      </c>
      <c r="J29" s="102">
        <v>1328.8164320999999</v>
      </c>
      <c r="K29" s="102">
        <v>1573.1396173955368</v>
      </c>
      <c r="L29" s="102">
        <v>1410.3964654537804</v>
      </c>
      <c r="M29" s="102">
        <v>1383.350709050683</v>
      </c>
      <c r="N29" s="110">
        <f>SUM(B29:M29)</f>
        <v>13281.794047050684</v>
      </c>
    </row>
    <row r="30" spans="1:14">
      <c r="A30" s="101" t="s">
        <v>67</v>
      </c>
      <c r="B30" s="102">
        <v>332.28392500000007</v>
      </c>
      <c r="C30" s="102">
        <v>440.07312600000006</v>
      </c>
      <c r="D30" s="102">
        <v>387.19588999999996</v>
      </c>
      <c r="E30" s="102">
        <v>411.470189</v>
      </c>
      <c r="F30" s="102">
        <v>450.86828199999997</v>
      </c>
      <c r="G30" s="102">
        <v>489.28364399999998</v>
      </c>
      <c r="H30" s="102">
        <v>561.14165600000001</v>
      </c>
      <c r="I30" s="102">
        <v>593.92538100000002</v>
      </c>
      <c r="J30" s="102">
        <v>625.34320500000001</v>
      </c>
      <c r="K30" s="102">
        <v>694.44120999999996</v>
      </c>
      <c r="L30" s="102">
        <v>601.47248100000002</v>
      </c>
      <c r="M30" s="102">
        <v>602.13098500000001</v>
      </c>
      <c r="N30" s="110">
        <f>SUM(B30:M30)</f>
        <v>6189.6299739999995</v>
      </c>
    </row>
    <row r="31" spans="1:14">
      <c r="A31" s="101" t="s">
        <v>66</v>
      </c>
      <c r="B31" s="102">
        <v>169.73276924000001</v>
      </c>
      <c r="C31" s="102">
        <v>205.76543071200001</v>
      </c>
      <c r="D31" s="102">
        <v>249.71455002499999</v>
      </c>
      <c r="E31" s="102">
        <v>219.30183115099999</v>
      </c>
      <c r="F31" s="102">
        <v>225.720642193</v>
      </c>
      <c r="G31" s="102">
        <v>198.14476999499999</v>
      </c>
      <c r="H31" s="102">
        <v>232.22805598299999</v>
      </c>
      <c r="I31" s="102">
        <v>230.11691634900001</v>
      </c>
      <c r="J31" s="102">
        <v>259.78027229000003</v>
      </c>
      <c r="K31" s="102">
        <v>248.84311921899999</v>
      </c>
      <c r="L31" s="102">
        <v>227.10363263100001</v>
      </c>
      <c r="M31" s="102">
        <v>240.90137020099999</v>
      </c>
      <c r="N31" s="110">
        <f>SUM(B31:M31)</f>
        <v>2707.3533599890002</v>
      </c>
    </row>
    <row r="32" spans="1:14">
      <c r="A32" s="115" t="s">
        <v>35</v>
      </c>
      <c r="B32" s="110">
        <f>SUM(B28:B31)</f>
        <v>2085.7782364434734</v>
      </c>
      <c r="C32" s="110">
        <f t="shared" ref="C32:M32" si="3">SUM(C28:C31)</f>
        <v>2229.2941446920072</v>
      </c>
      <c r="D32" s="110">
        <f t="shared" si="3"/>
        <v>2540.1451918539487</v>
      </c>
      <c r="E32" s="110">
        <f t="shared" si="3"/>
        <v>2571.3696694053274</v>
      </c>
      <c r="F32" s="110">
        <f t="shared" si="3"/>
        <v>2439.955915332032</v>
      </c>
      <c r="G32" s="110">
        <f t="shared" si="3"/>
        <v>2577.1818970226905</v>
      </c>
      <c r="H32" s="110">
        <f t="shared" si="3"/>
        <v>2910.3188192936836</v>
      </c>
      <c r="I32" s="110">
        <f t="shared" si="3"/>
        <v>3408.7475995395484</v>
      </c>
      <c r="J32" s="110">
        <f t="shared" si="3"/>
        <v>3414.41390009</v>
      </c>
      <c r="K32" s="110">
        <f t="shared" si="3"/>
        <v>3836.5973606145367</v>
      </c>
      <c r="L32" s="110">
        <f t="shared" si="3"/>
        <v>3502.7375790847805</v>
      </c>
      <c r="M32" s="110">
        <f t="shared" si="3"/>
        <v>3602.8321302516829</v>
      </c>
      <c r="N32" s="110">
        <f>SUM(B32:M32)</f>
        <v>35119.37244362371</v>
      </c>
    </row>
    <row r="33" spans="1:14">
      <c r="A33" s="101"/>
      <c r="B33" s="102"/>
      <c r="C33" s="102"/>
      <c r="D33" s="102"/>
      <c r="E33" s="102"/>
      <c r="F33" s="102"/>
      <c r="G33" s="102"/>
      <c r="H33" s="102"/>
      <c r="I33" s="102"/>
      <c r="J33" s="110"/>
      <c r="K33" s="110"/>
      <c r="L33" s="110"/>
      <c r="M33" s="110"/>
      <c r="N33" s="110"/>
    </row>
    <row r="34" spans="1:14">
      <c r="A34" s="115" t="s">
        <v>103</v>
      </c>
      <c r="B34" s="102"/>
      <c r="C34" s="102"/>
      <c r="D34" s="102"/>
      <c r="E34" s="102"/>
      <c r="F34" s="102"/>
      <c r="G34" s="102"/>
      <c r="H34" s="102"/>
      <c r="I34" s="102"/>
      <c r="J34" s="110"/>
      <c r="K34" s="110"/>
      <c r="L34" s="110"/>
      <c r="M34" s="110"/>
      <c r="N34" s="110"/>
    </row>
    <row r="35" spans="1:14">
      <c r="A35" s="101" t="s">
        <v>41</v>
      </c>
      <c r="B35" s="102">
        <v>1.9175989999999998</v>
      </c>
      <c r="C35" s="102">
        <v>6.2923850000000003</v>
      </c>
      <c r="D35" s="102">
        <v>7.4121290000000002</v>
      </c>
      <c r="E35" s="102">
        <v>7.2669610000000002</v>
      </c>
      <c r="F35" s="102">
        <v>7.4260000000000002</v>
      </c>
      <c r="G35" s="102">
        <v>7.2888590000000004</v>
      </c>
      <c r="H35" s="102">
        <v>7.0980530000000019</v>
      </c>
      <c r="I35" s="102">
        <v>6.6924060000000001</v>
      </c>
      <c r="J35" s="102">
        <v>7.1075100000000004</v>
      </c>
      <c r="K35" s="102">
        <v>7.5593509999999995</v>
      </c>
      <c r="L35" s="102">
        <v>7.2072950000000002</v>
      </c>
      <c r="M35" s="102">
        <v>7.7213289999999999</v>
      </c>
      <c r="N35" s="110">
        <f>SUM(B35:M35)</f>
        <v>80.989876999999993</v>
      </c>
    </row>
    <row r="36" spans="1:14">
      <c r="A36" s="101" t="s">
        <v>42</v>
      </c>
      <c r="B36" s="102">
        <v>670.64641977850101</v>
      </c>
      <c r="C36" s="102">
        <v>565.89300000000003</v>
      </c>
      <c r="D36" s="102">
        <v>626.95120300000008</v>
      </c>
      <c r="E36" s="102">
        <v>765.71100000000001</v>
      </c>
      <c r="F36" s="102">
        <v>905.2212139999998</v>
      </c>
      <c r="G36" s="102">
        <v>812.51800000000014</v>
      </c>
      <c r="H36" s="102">
        <v>731.01499975000024</v>
      </c>
      <c r="I36" s="102">
        <v>1011.4408807500004</v>
      </c>
      <c r="J36" s="102">
        <v>1306.56266375</v>
      </c>
      <c r="K36" s="102">
        <v>1419.8365615</v>
      </c>
      <c r="L36" s="102">
        <v>1297.3568929999994</v>
      </c>
      <c r="M36" s="102">
        <v>1361.3944089999998</v>
      </c>
      <c r="N36" s="110">
        <f>SUM(B36:M36)</f>
        <v>11474.547244528501</v>
      </c>
    </row>
    <row r="37" spans="1:14">
      <c r="A37" s="115" t="s">
        <v>43</v>
      </c>
      <c r="B37" s="110">
        <f>SUM(B35:B36)</f>
        <v>672.56401877850101</v>
      </c>
      <c r="C37" s="110">
        <f t="shared" ref="C37:M37" si="4">SUM(C35:C36)</f>
        <v>572.185385</v>
      </c>
      <c r="D37" s="110">
        <f t="shared" si="4"/>
        <v>634.36333200000013</v>
      </c>
      <c r="E37" s="110">
        <f t="shared" si="4"/>
        <v>772.97796100000005</v>
      </c>
      <c r="F37" s="110">
        <f t="shared" si="4"/>
        <v>912.64721399999985</v>
      </c>
      <c r="G37" s="110">
        <f t="shared" si="4"/>
        <v>819.80685900000014</v>
      </c>
      <c r="H37" s="110">
        <f t="shared" si="4"/>
        <v>738.11305275000029</v>
      </c>
      <c r="I37" s="110">
        <f t="shared" si="4"/>
        <v>1018.1332867500004</v>
      </c>
      <c r="J37" s="110">
        <f t="shared" si="4"/>
        <v>1313.67017375</v>
      </c>
      <c r="K37" s="110">
        <f t="shared" si="4"/>
        <v>1427.3959125000001</v>
      </c>
      <c r="L37" s="110">
        <f t="shared" si="4"/>
        <v>1304.5641879999994</v>
      </c>
      <c r="M37" s="110">
        <f t="shared" si="4"/>
        <v>1369.1157379999997</v>
      </c>
      <c r="N37" s="110">
        <f>SUM(B37:M37)</f>
        <v>11555.537121528501</v>
      </c>
    </row>
    <row r="38" spans="1:14">
      <c r="A38" s="101"/>
      <c r="B38" s="102"/>
      <c r="C38" s="102"/>
      <c r="D38" s="102"/>
      <c r="E38" s="102"/>
      <c r="F38" s="102"/>
      <c r="G38" s="102"/>
      <c r="H38" s="102"/>
      <c r="I38" s="102"/>
      <c r="J38" s="110"/>
      <c r="K38" s="110"/>
      <c r="L38" s="110"/>
      <c r="M38" s="110"/>
      <c r="N38" s="110"/>
    </row>
    <row r="39" spans="1:14">
      <c r="A39" s="115" t="s">
        <v>119</v>
      </c>
      <c r="B39" s="102"/>
      <c r="C39" s="102"/>
      <c r="D39" s="102"/>
      <c r="E39" s="102"/>
      <c r="F39" s="102"/>
      <c r="G39" s="102"/>
      <c r="H39" s="102"/>
      <c r="I39" s="102"/>
      <c r="J39" s="110"/>
      <c r="K39" s="110"/>
      <c r="L39" s="110"/>
      <c r="M39" s="110"/>
      <c r="N39" s="110"/>
    </row>
    <row r="40" spans="1:14">
      <c r="A40" s="101" t="s">
        <v>29</v>
      </c>
      <c r="B40" s="102">
        <v>549.48409300000003</v>
      </c>
      <c r="C40" s="102">
        <v>524.54383400000006</v>
      </c>
      <c r="D40" s="102">
        <v>653.90867900000001</v>
      </c>
      <c r="E40" s="102">
        <v>637.23881400000005</v>
      </c>
      <c r="F40" s="102">
        <v>658.21357999999987</v>
      </c>
      <c r="G40" s="102">
        <v>670.22152600000004</v>
      </c>
      <c r="H40" s="102">
        <v>495.89461800000004</v>
      </c>
      <c r="I40" s="102">
        <v>611.71652499999993</v>
      </c>
      <c r="J40" s="102">
        <v>577.89485999999988</v>
      </c>
      <c r="K40" s="102">
        <v>638.70285399999989</v>
      </c>
      <c r="L40" s="102">
        <v>641.81962300000009</v>
      </c>
      <c r="M40" s="102">
        <v>714.569074</v>
      </c>
      <c r="N40" s="110">
        <f>SUM(B40:M40)</f>
        <v>7374.2080800000012</v>
      </c>
    </row>
    <row r="41" spans="1:14">
      <c r="A41" s="101" t="s">
        <v>30</v>
      </c>
      <c r="B41" s="102">
        <v>774.48943600000007</v>
      </c>
      <c r="C41" s="102">
        <v>742.6252290000001</v>
      </c>
      <c r="D41" s="102">
        <v>725.23776399999997</v>
      </c>
      <c r="E41" s="102">
        <v>717.53045600000007</v>
      </c>
      <c r="F41" s="102">
        <v>651.49380999999983</v>
      </c>
      <c r="G41" s="102">
        <v>728.15618099999995</v>
      </c>
      <c r="H41" s="102">
        <v>792.94545600000015</v>
      </c>
      <c r="I41" s="102">
        <v>807.518914</v>
      </c>
      <c r="J41" s="102">
        <v>706.581005</v>
      </c>
      <c r="K41" s="102">
        <v>800.23724599999991</v>
      </c>
      <c r="L41" s="102">
        <v>737.10236899999984</v>
      </c>
      <c r="M41" s="102">
        <v>866.55462200000011</v>
      </c>
      <c r="N41" s="110">
        <f>SUM(B41:M41)</f>
        <v>9050.4724880000012</v>
      </c>
    </row>
    <row r="42" spans="1:14">
      <c r="A42" s="101" t="s">
        <v>72</v>
      </c>
      <c r="B42" s="102">
        <v>592.85</v>
      </c>
      <c r="C42" s="102">
        <v>653.13900000000001</v>
      </c>
      <c r="D42" s="102">
        <v>784.70799999999997</v>
      </c>
      <c r="E42" s="102">
        <v>1035.451</v>
      </c>
      <c r="F42" s="102">
        <v>1047.4680000000001</v>
      </c>
      <c r="G42" s="102">
        <v>1015.784</v>
      </c>
      <c r="H42" s="102">
        <v>1038.175</v>
      </c>
      <c r="I42" s="102">
        <v>1037.9970000000001</v>
      </c>
      <c r="J42" s="102">
        <v>1026.7159999999999</v>
      </c>
      <c r="K42" s="102">
        <v>801.29200000000003</v>
      </c>
      <c r="L42" s="102">
        <v>13.369</v>
      </c>
      <c r="M42" s="102">
        <v>1025.0530000000001</v>
      </c>
      <c r="N42" s="110">
        <f>SUM(B42:M42)</f>
        <v>10072.002</v>
      </c>
    </row>
    <row r="43" spans="1:14">
      <c r="A43" s="115" t="s">
        <v>31</v>
      </c>
      <c r="B43" s="110">
        <f>SUM(B40:B42)</f>
        <v>1916.8235290000002</v>
      </c>
      <c r="C43" s="110">
        <f t="shared" ref="C43:M43" si="5">SUM(C40:C42)</f>
        <v>1920.3080630000004</v>
      </c>
      <c r="D43" s="110">
        <f t="shared" si="5"/>
        <v>2163.8544430000002</v>
      </c>
      <c r="E43" s="110">
        <f t="shared" si="5"/>
        <v>2390.2202700000003</v>
      </c>
      <c r="F43" s="110">
        <f t="shared" si="5"/>
        <v>2357.1753899999994</v>
      </c>
      <c r="G43" s="110">
        <f t="shared" si="5"/>
        <v>2414.1617070000002</v>
      </c>
      <c r="H43" s="110">
        <f t="shared" si="5"/>
        <v>2327.0150739999999</v>
      </c>
      <c r="I43" s="110">
        <f t="shared" si="5"/>
        <v>2457.2324390000003</v>
      </c>
      <c r="J43" s="110">
        <f t="shared" si="5"/>
        <v>2311.1918649999998</v>
      </c>
      <c r="K43" s="110">
        <f t="shared" si="5"/>
        <v>2240.2320999999997</v>
      </c>
      <c r="L43" s="110">
        <f t="shared" si="5"/>
        <v>1392.290992</v>
      </c>
      <c r="M43" s="110">
        <f t="shared" si="5"/>
        <v>2606.1766960000004</v>
      </c>
      <c r="N43" s="110">
        <f>SUM(B43:M43)</f>
        <v>26496.682567999997</v>
      </c>
    </row>
    <row r="44" spans="1:14">
      <c r="A44" s="101"/>
      <c r="B44" s="102"/>
      <c r="C44" s="102"/>
      <c r="D44" s="102"/>
      <c r="E44" s="102"/>
      <c r="G44" s="102"/>
      <c r="H44" s="102"/>
      <c r="I44" s="102"/>
      <c r="J44" s="110"/>
      <c r="K44" s="110"/>
      <c r="L44" s="110"/>
      <c r="M44" s="110"/>
      <c r="N44" s="110"/>
    </row>
    <row r="45" spans="1:14">
      <c r="A45" s="115" t="s">
        <v>44</v>
      </c>
      <c r="B45" s="102"/>
      <c r="C45" s="102"/>
      <c r="D45" s="102"/>
      <c r="E45" s="102"/>
      <c r="F45" s="102"/>
      <c r="G45" s="102"/>
      <c r="H45" s="102"/>
      <c r="I45" s="102"/>
      <c r="J45" s="110"/>
      <c r="K45" s="110"/>
      <c r="L45" s="110"/>
      <c r="M45" s="110"/>
      <c r="N45" s="110"/>
    </row>
    <row r="46" spans="1:14">
      <c r="A46" s="101" t="s">
        <v>45</v>
      </c>
      <c r="B46" s="102">
        <v>2791.9725749999998</v>
      </c>
      <c r="C46" s="102">
        <v>2762.3106410000005</v>
      </c>
      <c r="D46" s="102">
        <v>2605.219454</v>
      </c>
      <c r="E46" s="102">
        <v>2830.403135</v>
      </c>
      <c r="F46" s="102">
        <v>3020.7570660000001</v>
      </c>
      <c r="G46" s="102">
        <v>2779.2210570000007</v>
      </c>
      <c r="H46" s="102">
        <v>3022.5757140000001</v>
      </c>
      <c r="I46" s="102">
        <v>2871.3877349999998</v>
      </c>
      <c r="J46" s="102">
        <v>2996.4312689999997</v>
      </c>
      <c r="K46" s="102">
        <v>2916.0185899999997</v>
      </c>
      <c r="L46" s="102">
        <v>2664.3565849999995</v>
      </c>
      <c r="M46" s="102">
        <v>2839.0259760000004</v>
      </c>
      <c r="N46" s="110">
        <f>SUM(B46:M46)</f>
        <v>34099.679796999997</v>
      </c>
    </row>
    <row r="47" spans="1:14">
      <c r="A47" s="101" t="s">
        <v>46</v>
      </c>
      <c r="B47" s="102">
        <v>2522.5179640000001</v>
      </c>
      <c r="C47" s="102">
        <v>2549.9839040000002</v>
      </c>
      <c r="D47" s="102">
        <v>2047.2787819999999</v>
      </c>
      <c r="E47" s="102">
        <v>1468.457746</v>
      </c>
      <c r="F47" s="102">
        <v>1368.983743</v>
      </c>
      <c r="G47" s="102">
        <v>2229.7508600000006</v>
      </c>
      <c r="H47" s="102">
        <v>2441.1296180000004</v>
      </c>
      <c r="I47" s="102">
        <v>2610.6463960000001</v>
      </c>
      <c r="J47" s="102">
        <v>2691.2275688</v>
      </c>
      <c r="K47" s="102">
        <v>2648.3755899999996</v>
      </c>
      <c r="L47" s="102">
        <v>2212.0071250000001</v>
      </c>
      <c r="M47" s="102">
        <v>2050.915794</v>
      </c>
      <c r="N47" s="110">
        <f>SUM(B47:M47)</f>
        <v>26841.275090800002</v>
      </c>
    </row>
    <row r="48" spans="1:14">
      <c r="A48" s="115" t="s">
        <v>47</v>
      </c>
      <c r="B48" s="110">
        <f>SUM(B46:B47)</f>
        <v>5314.4905390000004</v>
      </c>
      <c r="C48" s="110">
        <f t="shared" ref="C48:M48" si="6">SUM(C46:C47)</f>
        <v>5312.2945450000007</v>
      </c>
      <c r="D48" s="110">
        <f t="shared" si="6"/>
        <v>4652.4982359999995</v>
      </c>
      <c r="E48" s="110">
        <f t="shared" si="6"/>
        <v>4298.8608810000005</v>
      </c>
      <c r="F48" s="110">
        <f t="shared" si="6"/>
        <v>4389.7408089999999</v>
      </c>
      <c r="G48" s="110">
        <f t="shared" si="6"/>
        <v>5008.9719170000008</v>
      </c>
      <c r="H48" s="110">
        <f t="shared" si="6"/>
        <v>5463.7053320000005</v>
      </c>
      <c r="I48" s="110">
        <f t="shared" si="6"/>
        <v>5482.0341310000003</v>
      </c>
      <c r="J48" s="110">
        <f t="shared" si="6"/>
        <v>5687.6588377999997</v>
      </c>
      <c r="K48" s="110">
        <f t="shared" si="6"/>
        <v>5564.3941799999993</v>
      </c>
      <c r="L48" s="110">
        <f t="shared" si="6"/>
        <v>4876.3637099999996</v>
      </c>
      <c r="M48" s="110">
        <f t="shared" si="6"/>
        <v>4889.9417700000004</v>
      </c>
      <c r="N48" s="110">
        <f>SUM(B48:M48)</f>
        <v>60940.954887799991</v>
      </c>
    </row>
    <row r="49" spans="1:16">
      <c r="A49" s="101"/>
      <c r="B49" s="102"/>
      <c r="C49" s="102"/>
      <c r="D49" s="102"/>
      <c r="E49" s="102"/>
      <c r="F49" s="102"/>
      <c r="G49" s="102"/>
      <c r="H49" s="102"/>
      <c r="I49" s="102"/>
      <c r="J49" s="110"/>
      <c r="K49" s="110"/>
      <c r="L49" s="110"/>
      <c r="M49" s="110"/>
      <c r="N49" s="110"/>
    </row>
    <row r="50" spans="1:16">
      <c r="A50" s="115" t="s">
        <v>115</v>
      </c>
      <c r="B50" s="110">
        <v>1401.7867534559994</v>
      </c>
      <c r="C50" s="110">
        <v>1560.9430653700001</v>
      </c>
      <c r="D50" s="110">
        <v>1394.1967274230001</v>
      </c>
      <c r="E50" s="110">
        <v>1559.9140026670004</v>
      </c>
      <c r="F50" s="110">
        <v>1538.8263073119999</v>
      </c>
      <c r="G50" s="110">
        <v>1460.1448251660001</v>
      </c>
      <c r="H50" s="110">
        <v>562.79266838472142</v>
      </c>
      <c r="I50" s="110">
        <v>1476.49643498</v>
      </c>
      <c r="J50" s="110">
        <v>1543.6399152329998</v>
      </c>
      <c r="K50" s="110">
        <v>1544.7996385709994</v>
      </c>
      <c r="L50" s="110">
        <v>1396.7906057069997</v>
      </c>
      <c r="M50" s="110">
        <v>1626.7804612520001</v>
      </c>
      <c r="N50" s="110">
        <f>SUM(B50:M50)</f>
        <v>17067.111405521719</v>
      </c>
    </row>
    <row r="51" spans="1:16">
      <c r="A51" s="101"/>
      <c r="B51" s="102"/>
      <c r="C51" s="102"/>
      <c r="D51" s="102"/>
      <c r="E51" s="102"/>
      <c r="F51" s="102"/>
      <c r="G51" s="102"/>
      <c r="H51" s="102"/>
      <c r="I51" s="102"/>
      <c r="J51" s="110"/>
      <c r="K51" s="110"/>
      <c r="L51" s="110"/>
      <c r="M51" s="110"/>
      <c r="N51" s="110"/>
    </row>
    <row r="52" spans="1:16">
      <c r="A52" s="117" t="s">
        <v>49</v>
      </c>
      <c r="B52" s="138">
        <f>+B20+B25+B32+B37+B43+B48+B50</f>
        <v>14745.176508677974</v>
      </c>
      <c r="C52" s="138">
        <f>+C20+C25+C32+C37+C43+C48+C50</f>
        <v>16347.126987062009</v>
      </c>
      <c r="D52" s="138">
        <f t="shared" ref="D52:M52" si="7">+D20+D25+D32+D37+D43+D48+D50</f>
        <v>17537.094255276948</v>
      </c>
      <c r="E52" s="138">
        <f t="shared" si="7"/>
        <v>17680.14771707233</v>
      </c>
      <c r="F52" s="138">
        <f t="shared" si="7"/>
        <v>16149.66554164403</v>
      </c>
      <c r="G52" s="138">
        <f t="shared" si="7"/>
        <v>17706.85213018869</v>
      </c>
      <c r="H52" s="138">
        <f t="shared" si="7"/>
        <v>18389.263844428409</v>
      </c>
      <c r="I52" s="138">
        <f t="shared" si="7"/>
        <v>20781.768377269549</v>
      </c>
      <c r="J52" s="138">
        <f t="shared" si="7"/>
        <v>21024.407338872999</v>
      </c>
      <c r="K52" s="138">
        <f t="shared" si="7"/>
        <v>21809.001718385534</v>
      </c>
      <c r="L52" s="138">
        <f t="shared" si="7"/>
        <v>18617.407012091779</v>
      </c>
      <c r="M52" s="138">
        <f t="shared" si="7"/>
        <v>20985.284475503686</v>
      </c>
      <c r="N52" s="110">
        <f>SUM(B52:M52)</f>
        <v>221773.19590647393</v>
      </c>
    </row>
    <row r="53" spans="1:16">
      <c r="A53" s="247" t="s">
        <v>68</v>
      </c>
      <c r="B53" s="248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9"/>
    </row>
    <row r="54" spans="1:16" s="155" customFormat="1" ht="33" customHeight="1">
      <c r="A54" s="250" t="s">
        <v>123</v>
      </c>
      <c r="B54" s="251"/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2"/>
      <c r="P54" s="187"/>
    </row>
    <row r="55" spans="1:16">
      <c r="C55" s="165"/>
      <c r="D55" s="140"/>
      <c r="E55" s="140"/>
      <c r="F55" s="140"/>
      <c r="G55" s="140"/>
      <c r="H55" s="140"/>
      <c r="I55" s="140"/>
      <c r="J55" s="140"/>
      <c r="K55" s="141"/>
    </row>
  </sheetData>
  <mergeCells count="6">
    <mergeCell ref="A2:B6"/>
    <mergeCell ref="C2:H2"/>
    <mergeCell ref="I7:N7"/>
    <mergeCell ref="A8:N8"/>
    <mergeCell ref="A53:N53"/>
    <mergeCell ref="A54:N5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3BCB-D5AB-461E-A2D2-F1E474B1E942}">
  <sheetPr>
    <pageSetUpPr fitToPage="1"/>
  </sheetPr>
  <dimension ref="A2:AN55"/>
  <sheetViews>
    <sheetView zoomScale="98" zoomScaleNormal="98" workbookViewId="0">
      <pane xSplit="1" topLeftCell="B1" activePane="topRight" state="frozen"/>
      <selection pane="topRight" activeCell="A53" sqref="A53:N53"/>
    </sheetView>
  </sheetViews>
  <sheetFormatPr defaultRowHeight="15"/>
  <cols>
    <col min="1" max="1" width="37.42578125" style="100" customWidth="1"/>
    <col min="2" max="10" width="10.85546875" style="100" customWidth="1"/>
    <col min="11" max="13" width="10.85546875" style="108" customWidth="1"/>
    <col min="14" max="14" width="12.7109375" style="108" customWidth="1"/>
    <col min="15" max="15" width="6.85546875" style="100" bestFit="1" customWidth="1"/>
    <col min="16" max="16" width="14" style="100" bestFit="1" customWidth="1"/>
    <col min="17" max="16384" width="9.140625" style="100"/>
  </cols>
  <sheetData>
    <row r="2" spans="1:40" ht="20.25">
      <c r="A2" s="225"/>
      <c r="B2" s="225"/>
      <c r="C2" s="242" t="s">
        <v>0</v>
      </c>
      <c r="D2" s="242"/>
      <c r="E2" s="242"/>
      <c r="F2" s="242"/>
      <c r="G2" s="242"/>
      <c r="H2" s="242"/>
    </row>
    <row r="3" spans="1:40">
      <c r="A3" s="225"/>
      <c r="B3" s="225"/>
    </row>
    <row r="4" spans="1:40">
      <c r="A4" s="225"/>
      <c r="B4" s="225"/>
    </row>
    <row r="5" spans="1:40">
      <c r="A5" s="225"/>
      <c r="B5" s="225"/>
    </row>
    <row r="6" spans="1:40">
      <c r="A6" s="225"/>
      <c r="B6" s="225"/>
    </row>
    <row r="7" spans="1:40" ht="18.75">
      <c r="A7" s="163" t="s">
        <v>118</v>
      </c>
      <c r="B7" s="164"/>
      <c r="C7" s="164"/>
      <c r="D7" s="164"/>
      <c r="E7" s="164"/>
      <c r="F7" s="164"/>
      <c r="G7" s="164"/>
      <c r="H7" s="164"/>
      <c r="I7" s="243" t="s">
        <v>2</v>
      </c>
      <c r="J7" s="243"/>
      <c r="K7" s="243"/>
      <c r="L7" s="243"/>
      <c r="M7" s="243"/>
      <c r="N7" s="243"/>
    </row>
    <row r="8" spans="1:40" ht="19.5" customHeight="1">
      <c r="A8" s="244" t="s">
        <v>3</v>
      </c>
      <c r="B8" s="245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6"/>
    </row>
    <row r="9" spans="1:40" ht="18.75">
      <c r="A9" s="112" t="s">
        <v>51</v>
      </c>
      <c r="B9" s="113" t="s">
        <v>52</v>
      </c>
      <c r="C9" s="114" t="s">
        <v>53</v>
      </c>
      <c r="D9" s="114" t="s">
        <v>54</v>
      </c>
      <c r="E9" s="114" t="s">
        <v>55</v>
      </c>
      <c r="F9" s="114" t="s">
        <v>56</v>
      </c>
      <c r="G9" s="114" t="s">
        <v>98</v>
      </c>
      <c r="H9" s="114" t="s">
        <v>58</v>
      </c>
      <c r="I9" s="114" t="s">
        <v>59</v>
      </c>
      <c r="J9" s="114" t="s">
        <v>60</v>
      </c>
      <c r="K9" s="134" t="s">
        <v>61</v>
      </c>
      <c r="L9" s="134" t="s">
        <v>62</v>
      </c>
      <c r="M9" s="134" t="s">
        <v>63</v>
      </c>
      <c r="N9" s="134" t="s">
        <v>64</v>
      </c>
    </row>
    <row r="10" spans="1:40">
      <c r="A10" s="115" t="s">
        <v>17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2"/>
      <c r="L10" s="102"/>
      <c r="M10" s="102"/>
      <c r="N10" s="102"/>
    </row>
    <row r="11" spans="1:40">
      <c r="A11" s="101" t="s">
        <v>22</v>
      </c>
      <c r="B11" s="102">
        <v>568.61900000000003</v>
      </c>
      <c r="C11" s="102">
        <v>582.78000000000009</v>
      </c>
      <c r="D11" s="102">
        <v>569.51800000000003</v>
      </c>
      <c r="E11" s="102">
        <v>581.48699999999997</v>
      </c>
      <c r="F11" s="102">
        <v>461.7879999999999</v>
      </c>
      <c r="G11" s="102">
        <v>434.61199999999997</v>
      </c>
      <c r="H11" s="102">
        <v>538.976</v>
      </c>
      <c r="I11" s="102">
        <v>594.79899999999998</v>
      </c>
      <c r="J11" s="102">
        <v>572.99499999999989</v>
      </c>
      <c r="K11" s="102">
        <v>556.90899999999999</v>
      </c>
      <c r="L11" s="102">
        <v>541.37599999999998</v>
      </c>
      <c r="M11" s="102">
        <v>511.67399999999992</v>
      </c>
      <c r="N11" s="110">
        <v>6515.5330000000004</v>
      </c>
      <c r="O11" s="108"/>
      <c r="P11" s="166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</row>
    <row r="12" spans="1:40">
      <c r="A12" s="101" t="s">
        <v>18</v>
      </c>
      <c r="B12" s="102">
        <v>637.65499999999997</v>
      </c>
      <c r="C12" s="102">
        <v>817.1110000000001</v>
      </c>
      <c r="D12" s="102">
        <v>937.44900000000007</v>
      </c>
      <c r="E12" s="102">
        <v>1117.818</v>
      </c>
      <c r="F12" s="102">
        <v>993.80299999999988</v>
      </c>
      <c r="G12" s="102">
        <v>1086.221</v>
      </c>
      <c r="H12" s="102">
        <v>1256.184</v>
      </c>
      <c r="I12" s="102">
        <v>1271.0879999999997</v>
      </c>
      <c r="J12" s="102">
        <v>1299.229</v>
      </c>
      <c r="K12" s="102">
        <v>1262.2949999999998</v>
      </c>
      <c r="L12" s="102">
        <v>1228.934</v>
      </c>
      <c r="M12" s="102">
        <v>1166.9590000000001</v>
      </c>
      <c r="N12" s="110">
        <v>13074.744000000001</v>
      </c>
      <c r="O12" s="108"/>
      <c r="P12" s="166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</row>
    <row r="13" spans="1:40">
      <c r="A13" s="101" t="s">
        <v>21</v>
      </c>
      <c r="B13" s="102">
        <v>684.22200000000009</v>
      </c>
      <c r="C13" s="102">
        <v>703.71199999999988</v>
      </c>
      <c r="D13" s="102">
        <v>687.90599999999995</v>
      </c>
      <c r="E13" s="102">
        <v>708.03199999999993</v>
      </c>
      <c r="F13" s="102">
        <v>599.91800000000001</v>
      </c>
      <c r="G13" s="102">
        <v>515.58600000000001</v>
      </c>
      <c r="H13" s="102">
        <v>373.197</v>
      </c>
      <c r="I13" s="102">
        <v>363.60699999999997</v>
      </c>
      <c r="J13" s="102">
        <v>376.048</v>
      </c>
      <c r="K13" s="102">
        <v>339.85</v>
      </c>
      <c r="L13" s="102">
        <v>517.43100000000004</v>
      </c>
      <c r="M13" s="102">
        <v>593.7829999999999</v>
      </c>
      <c r="N13" s="110">
        <v>6463.2920000000022</v>
      </c>
      <c r="O13" s="108"/>
      <c r="P13" s="166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</row>
    <row r="14" spans="1:40">
      <c r="A14" s="101" t="s">
        <v>19</v>
      </c>
      <c r="B14" s="102">
        <v>847.23700000000008</v>
      </c>
      <c r="C14" s="102">
        <v>889.67799999999988</v>
      </c>
      <c r="D14" s="102">
        <v>870.17899999999997</v>
      </c>
      <c r="E14" s="102">
        <v>899.13599999999997</v>
      </c>
      <c r="F14" s="102">
        <v>858.56000000000006</v>
      </c>
      <c r="G14" s="102">
        <v>843.12599999999998</v>
      </c>
      <c r="H14" s="102">
        <v>866.42899999999997</v>
      </c>
      <c r="I14" s="102">
        <v>829.50200000000007</v>
      </c>
      <c r="J14" s="102">
        <v>82.813999999999993</v>
      </c>
      <c r="K14" s="102">
        <v>430.69900000000001</v>
      </c>
      <c r="L14" s="102">
        <v>747.47799999999984</v>
      </c>
      <c r="M14" s="102">
        <v>783.20100000000002</v>
      </c>
      <c r="N14" s="110">
        <v>8948.0390000000007</v>
      </c>
      <c r="O14" s="108"/>
      <c r="P14" s="166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</row>
    <row r="15" spans="1:40">
      <c r="A15" s="101" t="s">
        <v>20</v>
      </c>
      <c r="B15" s="102">
        <v>1154.6809999999998</v>
      </c>
      <c r="C15" s="102">
        <v>1374.6669999999999</v>
      </c>
      <c r="D15" s="102">
        <v>1291.537</v>
      </c>
      <c r="E15" s="102">
        <v>1401.681</v>
      </c>
      <c r="F15" s="102">
        <v>1329.78</v>
      </c>
      <c r="G15" s="102">
        <v>580.47</v>
      </c>
      <c r="H15" s="102">
        <v>1267.2550000000001</v>
      </c>
      <c r="I15" s="102">
        <v>1292.905</v>
      </c>
      <c r="J15" s="102">
        <v>1401.98</v>
      </c>
      <c r="K15" s="102">
        <v>1395.1130000000001</v>
      </c>
      <c r="L15" s="102">
        <v>1332.4490000000001</v>
      </c>
      <c r="M15" s="102">
        <v>1215.578</v>
      </c>
      <c r="N15" s="110">
        <v>15038.095999999998</v>
      </c>
      <c r="O15" s="108"/>
      <c r="P15" s="166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</row>
    <row r="16" spans="1:40">
      <c r="A16" s="101" t="s">
        <v>23</v>
      </c>
      <c r="B16" s="102">
        <v>74.710000000000008</v>
      </c>
      <c r="C16" s="102">
        <v>74.162000000000006</v>
      </c>
      <c r="D16" s="102">
        <v>80.306999999999988</v>
      </c>
      <c r="E16" s="102">
        <v>86.44</v>
      </c>
      <c r="F16" s="102">
        <v>92.772999999999996</v>
      </c>
      <c r="G16" s="102">
        <v>89.596000000000004</v>
      </c>
      <c r="H16" s="102">
        <v>81.411000000000001</v>
      </c>
      <c r="I16" s="102">
        <v>90.414000000000001</v>
      </c>
      <c r="J16" s="102">
        <v>87.209000000000003</v>
      </c>
      <c r="K16" s="102">
        <v>82.953000000000003</v>
      </c>
      <c r="L16" s="102">
        <v>52.427999999999997</v>
      </c>
      <c r="M16" s="102">
        <v>0</v>
      </c>
      <c r="N16" s="110">
        <v>892.40300000000002</v>
      </c>
      <c r="O16" s="108"/>
      <c r="P16" s="166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</row>
    <row r="17" spans="1:40">
      <c r="A17" s="101" t="s">
        <v>24</v>
      </c>
      <c r="B17" s="102">
        <v>52.163000000000004</v>
      </c>
      <c r="C17" s="102">
        <v>52.565999999999995</v>
      </c>
      <c r="D17" s="102">
        <v>50.878</v>
      </c>
      <c r="E17" s="102">
        <v>59.917000000000002</v>
      </c>
      <c r="F17" s="102">
        <v>50.1</v>
      </c>
      <c r="G17" s="102">
        <v>53.686999999999998</v>
      </c>
      <c r="H17" s="102">
        <v>60.410999999999994</v>
      </c>
      <c r="I17" s="102">
        <v>58.915999999999997</v>
      </c>
      <c r="J17" s="102">
        <v>48.500999999999998</v>
      </c>
      <c r="K17" s="102">
        <v>61.685000000000002</v>
      </c>
      <c r="L17" s="102">
        <v>55.97</v>
      </c>
      <c r="M17" s="102">
        <v>59.439</v>
      </c>
      <c r="N17" s="110">
        <v>664.23299999999995</v>
      </c>
      <c r="O17" s="108"/>
      <c r="P17" s="166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</row>
    <row r="18" spans="1:40">
      <c r="A18" s="101" t="s">
        <v>25</v>
      </c>
      <c r="B18" s="102">
        <v>198.33</v>
      </c>
      <c r="C18" s="102">
        <v>196.54999999999998</v>
      </c>
      <c r="D18" s="102">
        <v>194.917</v>
      </c>
      <c r="E18" s="102">
        <v>206.78700000000003</v>
      </c>
      <c r="F18" s="102">
        <v>207.60899999999998</v>
      </c>
      <c r="G18" s="102">
        <v>206.51499999999996</v>
      </c>
      <c r="H18" s="102">
        <v>216.23200000000003</v>
      </c>
      <c r="I18" s="102">
        <v>219.58699999999999</v>
      </c>
      <c r="J18" s="102">
        <v>64.998000000000005</v>
      </c>
      <c r="K18" s="102">
        <v>108.318</v>
      </c>
      <c r="L18" s="102">
        <v>90.337999999999994</v>
      </c>
      <c r="M18" s="102">
        <v>134.643</v>
      </c>
      <c r="N18" s="110">
        <v>2044.8239999999998</v>
      </c>
      <c r="O18" s="108"/>
      <c r="P18" s="166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</row>
    <row r="19" spans="1:40">
      <c r="A19" s="101" t="s">
        <v>99</v>
      </c>
      <c r="B19" s="102">
        <v>1316.818</v>
      </c>
      <c r="C19" s="102">
        <v>1235.4750000000001</v>
      </c>
      <c r="D19" s="102">
        <v>1138.9739999999999</v>
      </c>
      <c r="E19" s="102">
        <v>1354.6539999999998</v>
      </c>
      <c r="F19" s="102">
        <v>1365.0249999999999</v>
      </c>
      <c r="G19" s="102">
        <v>1352.3009999999999</v>
      </c>
      <c r="H19" s="102">
        <v>1382.5809999999999</v>
      </c>
      <c r="I19" s="102">
        <v>1369.2570000000001</v>
      </c>
      <c r="J19" s="102">
        <v>1429.6900000000003</v>
      </c>
      <c r="K19" s="102">
        <v>1404.748</v>
      </c>
      <c r="L19" s="102">
        <v>1157.8229999999999</v>
      </c>
      <c r="M19" s="102">
        <v>1270.8520000000001</v>
      </c>
      <c r="N19" s="110">
        <v>15778.197999999999</v>
      </c>
      <c r="O19" s="108"/>
      <c r="P19" s="166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</row>
    <row r="20" spans="1:40">
      <c r="A20" s="115" t="s">
        <v>27</v>
      </c>
      <c r="B20" s="110">
        <v>5534.4350000000004</v>
      </c>
      <c r="C20" s="110">
        <v>5926.7010000000009</v>
      </c>
      <c r="D20" s="110">
        <v>5821.665</v>
      </c>
      <c r="E20" s="110">
        <v>6415.9519999999993</v>
      </c>
      <c r="F20" s="110">
        <v>5959.3560000000007</v>
      </c>
      <c r="G20" s="110">
        <v>5162.1139999999996</v>
      </c>
      <c r="H20" s="110">
        <v>6042.6760000000004</v>
      </c>
      <c r="I20" s="110">
        <v>6090.0749999999989</v>
      </c>
      <c r="J20" s="110">
        <v>5363.4639999999999</v>
      </c>
      <c r="K20" s="110">
        <v>5642.57</v>
      </c>
      <c r="L20" s="110">
        <v>5724.226999999999</v>
      </c>
      <c r="M20" s="110">
        <v>5736.1289999999999</v>
      </c>
      <c r="N20" s="110">
        <f>SUM(N11:N19)</f>
        <v>69419.362000000008</v>
      </c>
      <c r="O20" s="108"/>
      <c r="P20" s="166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</row>
    <row r="21" spans="1:40">
      <c r="A21" s="101"/>
      <c r="B21" s="102"/>
      <c r="C21" s="102"/>
      <c r="D21" s="102"/>
      <c r="E21" s="102"/>
      <c r="F21" s="102"/>
      <c r="G21" s="102"/>
      <c r="H21" s="102"/>
      <c r="I21" s="102"/>
      <c r="J21" s="110"/>
      <c r="K21" s="110"/>
      <c r="L21" s="110"/>
      <c r="M21" s="110"/>
      <c r="N21" s="110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</row>
    <row r="22" spans="1:40">
      <c r="A22" s="115" t="s">
        <v>102</v>
      </c>
      <c r="B22" s="102"/>
      <c r="C22" s="102"/>
      <c r="D22" s="102"/>
      <c r="E22" s="102"/>
      <c r="F22" s="102"/>
      <c r="G22" s="102"/>
      <c r="H22" s="102"/>
      <c r="I22" s="102"/>
      <c r="J22" s="110"/>
      <c r="K22" s="110"/>
      <c r="L22" s="110"/>
      <c r="M22" s="110"/>
      <c r="N22" s="110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</row>
    <row r="23" spans="1:40">
      <c r="A23" s="101" t="s">
        <v>37</v>
      </c>
      <c r="B23" s="102">
        <v>839.91059641000004</v>
      </c>
      <c r="C23" s="102">
        <v>904.23636539999984</v>
      </c>
      <c r="D23" s="102">
        <v>877.78488100000004</v>
      </c>
      <c r="E23" s="102">
        <v>925.2380558000001</v>
      </c>
      <c r="F23" s="102">
        <v>898.16025620000005</v>
      </c>
      <c r="G23" s="102">
        <v>743.42982800000004</v>
      </c>
      <c r="H23" s="102">
        <v>711.08916900000008</v>
      </c>
      <c r="I23" s="102">
        <v>788.62577899999974</v>
      </c>
      <c r="J23" s="102">
        <v>936.78167000000008</v>
      </c>
      <c r="K23" s="102">
        <v>946.86016999999993</v>
      </c>
      <c r="L23" s="102">
        <v>735.32838599999991</v>
      </c>
      <c r="M23" s="102">
        <v>853.19166800000005</v>
      </c>
      <c r="N23" s="110">
        <v>10160.636824810001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</row>
    <row r="24" spans="1:40">
      <c r="A24" s="101" t="s">
        <v>38</v>
      </c>
      <c r="B24" s="102">
        <v>0</v>
      </c>
      <c r="C24" s="102">
        <v>0</v>
      </c>
      <c r="D24" s="102">
        <v>0</v>
      </c>
      <c r="E24" s="102">
        <v>0</v>
      </c>
      <c r="F24" s="102">
        <v>0</v>
      </c>
      <c r="G24" s="102">
        <v>0</v>
      </c>
      <c r="H24" s="102">
        <v>0</v>
      </c>
      <c r="I24" s="102">
        <v>0</v>
      </c>
      <c r="J24" s="102">
        <v>0</v>
      </c>
      <c r="K24" s="102">
        <v>0</v>
      </c>
      <c r="L24" s="102">
        <v>0</v>
      </c>
      <c r="M24" s="102">
        <v>0</v>
      </c>
      <c r="N24" s="110">
        <v>0</v>
      </c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</row>
    <row r="25" spans="1:40">
      <c r="A25" s="115" t="s">
        <v>39</v>
      </c>
      <c r="B25" s="110">
        <v>839.91059641000004</v>
      </c>
      <c r="C25" s="110">
        <v>904.23636539999984</v>
      </c>
      <c r="D25" s="110">
        <v>877.78488100000004</v>
      </c>
      <c r="E25" s="110">
        <v>925.2380558000001</v>
      </c>
      <c r="F25" s="110">
        <v>898.16025620000005</v>
      </c>
      <c r="G25" s="110">
        <v>743.42982800000004</v>
      </c>
      <c r="H25" s="110">
        <v>711.08916900000008</v>
      </c>
      <c r="I25" s="110">
        <v>788.62577899999974</v>
      </c>
      <c r="J25" s="110">
        <v>936.78167000000008</v>
      </c>
      <c r="K25" s="110">
        <v>946.86016999999993</v>
      </c>
      <c r="L25" s="110">
        <v>735.32838599999991</v>
      </c>
      <c r="M25" s="110">
        <v>853.19166800000005</v>
      </c>
      <c r="N25" s="110">
        <f>SUM(N23:N24)</f>
        <v>10160.636824810001</v>
      </c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</row>
    <row r="26" spans="1:40">
      <c r="A26" s="101"/>
      <c r="B26" s="102"/>
      <c r="C26" s="102"/>
      <c r="D26" s="102"/>
      <c r="E26" s="102"/>
      <c r="F26" s="102"/>
      <c r="G26" s="102"/>
      <c r="H26" s="102"/>
      <c r="I26" s="102"/>
      <c r="J26" s="110"/>
      <c r="K26" s="110"/>
      <c r="L26" s="110"/>
      <c r="M26" s="110"/>
      <c r="N26" s="110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</row>
    <row r="27" spans="1:40">
      <c r="A27" s="115" t="s">
        <v>101</v>
      </c>
      <c r="B27" s="102"/>
      <c r="C27" s="102"/>
      <c r="D27" s="102"/>
      <c r="E27" s="102"/>
      <c r="F27" s="102"/>
      <c r="G27" s="102"/>
      <c r="H27" s="102"/>
      <c r="I27" s="102"/>
      <c r="J27" s="110"/>
      <c r="K27" s="110"/>
      <c r="L27" s="110"/>
      <c r="M27" s="110"/>
      <c r="N27" s="110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</row>
    <row r="28" spans="1:40">
      <c r="A28" s="101" t="s">
        <v>33</v>
      </c>
      <c r="B28" s="102">
        <v>1122.3387698959482</v>
      </c>
      <c r="C28" s="102">
        <v>1332.9180927634186</v>
      </c>
      <c r="D28" s="102">
        <v>629.59985100000006</v>
      </c>
      <c r="E28" s="102">
        <v>1298.5713066962871</v>
      </c>
      <c r="F28" s="102">
        <v>1302.6854000000001</v>
      </c>
      <c r="G28" s="102">
        <v>1303.7720690000001</v>
      </c>
      <c r="H28" s="102">
        <v>1372.364413</v>
      </c>
      <c r="I28" s="102">
        <v>1308.9613870000001</v>
      </c>
      <c r="J28" s="102">
        <v>1343.6125709999999</v>
      </c>
      <c r="K28" s="102">
        <v>1373.0736459999998</v>
      </c>
      <c r="L28" s="102">
        <v>1290.6569739999998</v>
      </c>
      <c r="M28" s="102">
        <v>1338.1221189999999</v>
      </c>
      <c r="N28" s="110">
        <v>15016.676031355653</v>
      </c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</row>
    <row r="29" spans="1:40">
      <c r="A29" s="101" t="s">
        <v>65</v>
      </c>
      <c r="B29" s="102">
        <v>1450.8964345102765</v>
      </c>
      <c r="C29" s="102">
        <v>1427.6979681383029</v>
      </c>
      <c r="D29" s="102">
        <v>1476.8708723514208</v>
      </c>
      <c r="E29" s="102">
        <v>1462.6373027352531</v>
      </c>
      <c r="F29" s="102">
        <v>1444.0890658999999</v>
      </c>
      <c r="G29" s="102">
        <v>953.45234892450037</v>
      </c>
      <c r="H29" s="102">
        <v>1307.0918486768435</v>
      </c>
      <c r="I29" s="102">
        <v>1392.0169057860849</v>
      </c>
      <c r="J29" s="102">
        <v>1410.1844857094516</v>
      </c>
      <c r="K29" s="102">
        <v>1453.2537389999995</v>
      </c>
      <c r="L29" s="102">
        <v>1368.8451256443286</v>
      </c>
      <c r="M29" s="102">
        <v>1368.3949562647472</v>
      </c>
      <c r="N29" s="110">
        <v>16515.431053641209</v>
      </c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</row>
    <row r="30" spans="1:40">
      <c r="A30" s="101" t="s">
        <v>67</v>
      </c>
      <c r="B30" s="102">
        <v>671.0582740000001</v>
      </c>
      <c r="C30" s="102">
        <v>704.55687400000011</v>
      </c>
      <c r="D30" s="102">
        <v>677.35185100000001</v>
      </c>
      <c r="E30" s="102">
        <v>523.39226499999995</v>
      </c>
      <c r="F30" s="102">
        <v>670.33203300000014</v>
      </c>
      <c r="G30" s="102">
        <v>532.37521900000002</v>
      </c>
      <c r="H30" s="102">
        <v>666.67154399999993</v>
      </c>
      <c r="I30" s="102">
        <v>657.82901199999992</v>
      </c>
      <c r="J30" s="102">
        <v>717.44886299999996</v>
      </c>
      <c r="K30" s="102">
        <v>706.45851200000004</v>
      </c>
      <c r="L30" s="102">
        <v>652.220596</v>
      </c>
      <c r="M30" s="102">
        <v>733.21086300000002</v>
      </c>
      <c r="N30" s="110">
        <v>7912.9059059999981</v>
      </c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</row>
    <row r="31" spans="1:40">
      <c r="A31" s="101" t="s">
        <v>66</v>
      </c>
      <c r="B31" s="102">
        <v>240.69902669899997</v>
      </c>
      <c r="C31" s="102">
        <v>223.30563730100002</v>
      </c>
      <c r="D31" s="102">
        <v>217.21402304499995</v>
      </c>
      <c r="E31" s="102">
        <v>259.05584282900003</v>
      </c>
      <c r="F31" s="102">
        <v>243.13014999999999</v>
      </c>
      <c r="G31" s="102">
        <v>210.95520706000005</v>
      </c>
      <c r="H31" s="102">
        <v>246.41363585100001</v>
      </c>
      <c r="I31" s="102">
        <v>118.70578465999996</v>
      </c>
      <c r="J31" s="102">
        <v>-1.6292600001179379E-4</v>
      </c>
      <c r="K31" s="102">
        <v>151.51906112200001</v>
      </c>
      <c r="L31" s="102">
        <v>224.69105787699999</v>
      </c>
      <c r="M31" s="102">
        <v>247.64946543800002</v>
      </c>
      <c r="N31" s="110">
        <v>2383.3387883169999</v>
      </c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</row>
    <row r="32" spans="1:40">
      <c r="A32" s="115" t="s">
        <v>35</v>
      </c>
      <c r="B32" s="110">
        <v>3484.9925051052246</v>
      </c>
      <c r="C32" s="110">
        <v>3688.4785722027214</v>
      </c>
      <c r="D32" s="110">
        <v>3001.0365973964208</v>
      </c>
      <c r="E32" s="110">
        <v>3543.6567172605401</v>
      </c>
      <c r="F32" s="110">
        <v>3660.2366489000001</v>
      </c>
      <c r="G32" s="110">
        <v>3000.5548439845006</v>
      </c>
      <c r="H32" s="110">
        <v>3592.5414415278433</v>
      </c>
      <c r="I32" s="110">
        <v>3477.5130894460854</v>
      </c>
      <c r="J32" s="110">
        <v>3471.2457567834517</v>
      </c>
      <c r="K32" s="110">
        <v>3684.3049581219998</v>
      </c>
      <c r="L32" s="110">
        <v>3536.4137535213281</v>
      </c>
      <c r="M32" s="110">
        <v>3687.3774037027474</v>
      </c>
      <c r="N32" s="110">
        <f>SUM(N28:N31)</f>
        <v>41828.35177931386</v>
      </c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</row>
    <row r="33" spans="1:40">
      <c r="A33" s="101"/>
      <c r="B33" s="102"/>
      <c r="C33" s="102"/>
      <c r="D33" s="102"/>
      <c r="E33" s="102"/>
      <c r="F33" s="102"/>
      <c r="G33" s="102"/>
      <c r="H33" s="102"/>
      <c r="I33" s="102"/>
      <c r="J33" s="110"/>
      <c r="K33" s="110"/>
      <c r="L33" s="110"/>
      <c r="M33" s="110"/>
      <c r="N33" s="110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</row>
    <row r="34" spans="1:40">
      <c r="A34" s="115" t="s">
        <v>103</v>
      </c>
      <c r="B34" s="102"/>
      <c r="C34" s="102"/>
      <c r="D34" s="102"/>
      <c r="E34" s="102"/>
      <c r="F34" s="102"/>
      <c r="G34" s="102"/>
      <c r="H34" s="102"/>
      <c r="I34" s="102"/>
      <c r="J34" s="110"/>
      <c r="K34" s="110"/>
      <c r="L34" s="110"/>
      <c r="M34" s="110"/>
      <c r="N34" s="110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</row>
    <row r="35" spans="1:40">
      <c r="A35" s="101" t="s">
        <v>41</v>
      </c>
      <c r="B35" s="102">
        <v>6.1924579999999994</v>
      </c>
      <c r="C35" s="102">
        <v>7.8082250000000002</v>
      </c>
      <c r="D35" s="102">
        <v>7.5139779999999998</v>
      </c>
      <c r="E35" s="102">
        <v>7.4886589999999993</v>
      </c>
      <c r="F35" s="102">
        <v>7.6200280000000005</v>
      </c>
      <c r="G35" s="102">
        <v>7.0270330000000003</v>
      </c>
      <c r="H35" s="102">
        <v>7.3659179999999997</v>
      </c>
      <c r="I35" s="102">
        <v>7.5343619999999998</v>
      </c>
      <c r="J35" s="102">
        <v>7.1032290000000007</v>
      </c>
      <c r="K35" s="102">
        <v>9.095599</v>
      </c>
      <c r="L35" s="102">
        <v>5.5449889999999993</v>
      </c>
      <c r="M35" s="102">
        <v>6.6337749999999982</v>
      </c>
      <c r="N35" s="110">
        <v>86.928253000000012</v>
      </c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</row>
    <row r="36" spans="1:40">
      <c r="A36" s="101" t="s">
        <v>42</v>
      </c>
      <c r="B36" s="102">
        <v>978.98900000000003</v>
      </c>
      <c r="C36" s="102">
        <v>722.2958339999999</v>
      </c>
      <c r="D36" s="102">
        <v>858.83399999999961</v>
      </c>
      <c r="E36" s="102">
        <v>1428.4295299999999</v>
      </c>
      <c r="F36" s="102">
        <v>1074.720583</v>
      </c>
      <c r="G36" s="102">
        <v>984.14020000000005</v>
      </c>
      <c r="H36" s="102">
        <v>1397.9593815725395</v>
      </c>
      <c r="I36" s="102">
        <v>1346.2573989999999</v>
      </c>
      <c r="J36" s="102">
        <v>1354.7539999999999</v>
      </c>
      <c r="K36" s="102">
        <v>1305.836</v>
      </c>
      <c r="L36" s="102">
        <v>1304.2141929999998</v>
      </c>
      <c r="M36" s="102">
        <v>1196.6759999999999</v>
      </c>
      <c r="N36" s="110">
        <v>13953.106120572538</v>
      </c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</row>
    <row r="37" spans="1:40">
      <c r="A37" s="115" t="s">
        <v>43</v>
      </c>
      <c r="B37" s="110">
        <v>985.18145800000002</v>
      </c>
      <c r="C37" s="110">
        <v>730.10405899999989</v>
      </c>
      <c r="D37" s="110">
        <v>866.34797799999956</v>
      </c>
      <c r="E37" s="110">
        <v>1435.918189</v>
      </c>
      <c r="F37" s="110">
        <v>1082.3406110000001</v>
      </c>
      <c r="G37" s="110">
        <v>991.16723300000001</v>
      </c>
      <c r="H37" s="110">
        <v>1405.3252995725395</v>
      </c>
      <c r="I37" s="110">
        <v>1353.791761</v>
      </c>
      <c r="J37" s="110">
        <v>1361.857229</v>
      </c>
      <c r="K37" s="110">
        <v>1314.931599</v>
      </c>
      <c r="L37" s="110">
        <v>1309.7591819999998</v>
      </c>
      <c r="M37" s="110">
        <v>1203.3097749999999</v>
      </c>
      <c r="N37" s="110">
        <f>SUM(N35:N36)</f>
        <v>14040.034373572538</v>
      </c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</row>
    <row r="38" spans="1:40">
      <c r="A38" s="101"/>
      <c r="B38" s="102"/>
      <c r="C38" s="102"/>
      <c r="D38" s="102"/>
      <c r="E38" s="102"/>
      <c r="F38" s="102"/>
      <c r="G38" s="102"/>
      <c r="H38" s="102"/>
      <c r="I38" s="102"/>
      <c r="J38" s="110"/>
      <c r="K38" s="110"/>
      <c r="L38" s="110"/>
      <c r="M38" s="110"/>
      <c r="N38" s="110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</row>
    <row r="39" spans="1:40">
      <c r="A39" s="115" t="s">
        <v>119</v>
      </c>
      <c r="B39" s="102"/>
      <c r="C39" s="102"/>
      <c r="D39" s="102"/>
      <c r="E39" s="102"/>
      <c r="F39" s="102"/>
      <c r="G39" s="102"/>
      <c r="H39" s="102"/>
      <c r="I39" s="102"/>
      <c r="J39" s="110"/>
      <c r="K39" s="110"/>
      <c r="L39" s="110"/>
      <c r="M39" s="110"/>
      <c r="N39" s="110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</row>
    <row r="40" spans="1:40">
      <c r="A40" s="101" t="s">
        <v>29</v>
      </c>
      <c r="B40" s="102">
        <v>306.98515300000003</v>
      </c>
      <c r="C40" s="102">
        <v>532.1626369999999</v>
      </c>
      <c r="D40" s="102">
        <v>718.12520999999992</v>
      </c>
      <c r="E40" s="102">
        <v>772.84272699999997</v>
      </c>
      <c r="F40" s="102">
        <v>766.59771999999998</v>
      </c>
      <c r="G40" s="102">
        <v>752.85863900000004</v>
      </c>
      <c r="H40" s="102">
        <v>773.01966300000004</v>
      </c>
      <c r="I40" s="102">
        <v>744.18417499999998</v>
      </c>
      <c r="J40" s="102">
        <v>582.08105799999998</v>
      </c>
      <c r="K40" s="102">
        <v>680.03994299999999</v>
      </c>
      <c r="L40" s="102">
        <v>716.89547900000002</v>
      </c>
      <c r="M40" s="102">
        <v>719.3690519999999</v>
      </c>
      <c r="N40" s="110">
        <v>8065.1614560000007</v>
      </c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</row>
    <row r="41" spans="1:40">
      <c r="A41" s="101" t="s">
        <v>30</v>
      </c>
      <c r="B41" s="102">
        <v>782.87855000000002</v>
      </c>
      <c r="C41" s="102">
        <v>819.10890899999993</v>
      </c>
      <c r="D41" s="102">
        <v>756.18969200000004</v>
      </c>
      <c r="E41" s="102">
        <v>853.80436600000007</v>
      </c>
      <c r="F41" s="102">
        <v>796.53307800000005</v>
      </c>
      <c r="G41" s="102">
        <v>626.38171200000011</v>
      </c>
      <c r="H41" s="102">
        <v>615.32522300000005</v>
      </c>
      <c r="I41" s="102">
        <v>776.1843540000001</v>
      </c>
      <c r="J41" s="102">
        <v>664.09043700000007</v>
      </c>
      <c r="K41" s="102">
        <v>830.862392</v>
      </c>
      <c r="L41" s="102">
        <v>798.28506700000014</v>
      </c>
      <c r="M41" s="102">
        <v>795.40543399999979</v>
      </c>
      <c r="N41" s="110">
        <v>9115.0492140000006</v>
      </c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</row>
    <row r="42" spans="1:40">
      <c r="A42" s="101" t="s">
        <v>72</v>
      </c>
      <c r="B42" s="102">
        <v>1050.597</v>
      </c>
      <c r="C42" s="102">
        <v>1082.82</v>
      </c>
      <c r="D42" s="102">
        <v>1054.3869999999999</v>
      </c>
      <c r="E42" s="102">
        <v>1086.3030000000001</v>
      </c>
      <c r="F42" s="102">
        <v>984.74</v>
      </c>
      <c r="G42" s="102">
        <v>602.17499999999995</v>
      </c>
      <c r="H42" s="102">
        <v>1104.3630000000001</v>
      </c>
      <c r="I42" s="102">
        <v>1072.462</v>
      </c>
      <c r="J42" s="102">
        <v>1110.2249999999999</v>
      </c>
      <c r="K42" s="102">
        <v>1100.9290000000001</v>
      </c>
      <c r="L42" s="102">
        <v>1028.2080000000001</v>
      </c>
      <c r="M42" s="102">
        <v>964.85500000000002</v>
      </c>
      <c r="N42" s="110">
        <v>12242.064</v>
      </c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</row>
    <row r="43" spans="1:40">
      <c r="A43" s="115" t="s">
        <v>31</v>
      </c>
      <c r="B43" s="110">
        <v>2140.4607029999997</v>
      </c>
      <c r="C43" s="110">
        <v>2434.0915459999997</v>
      </c>
      <c r="D43" s="110">
        <v>2528.7019019999998</v>
      </c>
      <c r="E43" s="110">
        <v>2712.9500930000004</v>
      </c>
      <c r="F43" s="110">
        <v>2547.8707979999999</v>
      </c>
      <c r="G43" s="110">
        <v>1981.4153510000001</v>
      </c>
      <c r="H43" s="110">
        <v>2492.7078860000001</v>
      </c>
      <c r="I43" s="110">
        <v>2592.8305289999998</v>
      </c>
      <c r="J43" s="110">
        <v>2356.396495</v>
      </c>
      <c r="K43" s="110">
        <v>2611.8313349999999</v>
      </c>
      <c r="L43" s="110">
        <v>2543.3885460000001</v>
      </c>
      <c r="M43" s="110">
        <v>2479.6294859999998</v>
      </c>
      <c r="N43" s="110">
        <f>SUM(N40:N42)</f>
        <v>29422.274669999999</v>
      </c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</row>
    <row r="44" spans="1:40">
      <c r="A44" s="101"/>
      <c r="B44" s="102"/>
      <c r="C44" s="102"/>
      <c r="D44" s="102"/>
      <c r="E44" s="102"/>
      <c r="G44" s="102"/>
      <c r="H44" s="102"/>
      <c r="I44" s="102"/>
      <c r="J44" s="110"/>
      <c r="K44" s="110"/>
      <c r="L44" s="110"/>
      <c r="M44" s="110"/>
      <c r="N44" s="110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</row>
    <row r="45" spans="1:40">
      <c r="A45" s="115" t="s">
        <v>44</v>
      </c>
      <c r="B45" s="102"/>
      <c r="C45" s="102"/>
      <c r="D45" s="102"/>
      <c r="E45" s="102"/>
      <c r="F45" s="102"/>
      <c r="G45" s="102"/>
      <c r="H45" s="102"/>
      <c r="I45" s="102"/>
      <c r="J45" s="110"/>
      <c r="K45" s="110"/>
      <c r="L45" s="110"/>
      <c r="M45" s="110"/>
      <c r="N45" s="110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</row>
    <row r="46" spans="1:40">
      <c r="A46" s="101" t="s">
        <v>45</v>
      </c>
      <c r="B46" s="102">
        <v>2825.3084649999987</v>
      </c>
      <c r="C46" s="102">
        <v>2809.5558959999994</v>
      </c>
      <c r="D46" s="102">
        <v>2402.6336750000005</v>
      </c>
      <c r="E46" s="102">
        <v>1700.3833539999994</v>
      </c>
      <c r="F46" s="102">
        <v>2824.8497400000006</v>
      </c>
      <c r="G46" s="102">
        <v>2866.0896120000007</v>
      </c>
      <c r="H46" s="102">
        <v>2949.3840650000006</v>
      </c>
      <c r="I46" s="102">
        <v>2828.2094159999997</v>
      </c>
      <c r="J46" s="102">
        <v>2840.3147869999998</v>
      </c>
      <c r="K46" s="102">
        <v>3076.9935659999996</v>
      </c>
      <c r="L46" s="102">
        <v>2880.927013</v>
      </c>
      <c r="M46" s="102">
        <v>3013.8824809999996</v>
      </c>
      <c r="N46" s="110">
        <v>33018.532070000001</v>
      </c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</row>
    <row r="47" spans="1:40">
      <c r="A47" s="101" t="s">
        <v>46</v>
      </c>
      <c r="B47" s="102">
        <v>3180.692</v>
      </c>
      <c r="C47" s="102">
        <v>3327.9059999999999</v>
      </c>
      <c r="D47" s="102">
        <v>3079.8589999999999</v>
      </c>
      <c r="E47" s="102">
        <v>3259.989</v>
      </c>
      <c r="F47" s="102">
        <v>3197.2890000000002</v>
      </c>
      <c r="G47" s="102">
        <v>3028.4639999999999</v>
      </c>
      <c r="H47" s="102">
        <v>2948.2710000000002</v>
      </c>
      <c r="I47" s="102">
        <v>3111.6039999999998</v>
      </c>
      <c r="J47" s="102">
        <v>2794.8319999999999</v>
      </c>
      <c r="K47" s="102">
        <v>2649.6410000000001</v>
      </c>
      <c r="L47" s="102">
        <v>2786.8519999999999</v>
      </c>
      <c r="M47" s="102">
        <v>2511.0549999999998</v>
      </c>
      <c r="N47" s="110">
        <v>35876.453999999998</v>
      </c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</row>
    <row r="48" spans="1:40">
      <c r="A48" s="115" t="s">
        <v>47</v>
      </c>
      <c r="B48" s="110">
        <v>6006.0004649999992</v>
      </c>
      <c r="C48" s="110">
        <v>6137.4618959999989</v>
      </c>
      <c r="D48" s="110">
        <v>5482.4926750000004</v>
      </c>
      <c r="E48" s="110">
        <v>4960.3723539999992</v>
      </c>
      <c r="F48" s="110">
        <v>6022.1387400000003</v>
      </c>
      <c r="G48" s="110">
        <v>5894.5536120000006</v>
      </c>
      <c r="H48" s="110">
        <v>5897.6550650000008</v>
      </c>
      <c r="I48" s="110">
        <v>5939.8134159999991</v>
      </c>
      <c r="J48" s="110">
        <v>5635.1467869999997</v>
      </c>
      <c r="K48" s="110">
        <v>5726.6345659999997</v>
      </c>
      <c r="L48" s="110">
        <v>5667.7790129999994</v>
      </c>
      <c r="M48" s="110">
        <v>5524.937480999999</v>
      </c>
      <c r="N48" s="110">
        <f>SUM(N46:N47)</f>
        <v>68894.986069999999</v>
      </c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</row>
    <row r="49" spans="1:40">
      <c r="A49" s="101"/>
      <c r="B49" s="102"/>
      <c r="C49" s="102"/>
      <c r="D49" s="102"/>
      <c r="E49" s="102"/>
      <c r="F49" s="102"/>
      <c r="G49" s="102"/>
      <c r="H49" s="102"/>
      <c r="I49" s="102"/>
      <c r="J49" s="110"/>
      <c r="K49" s="110"/>
      <c r="L49" s="110"/>
      <c r="M49" s="110"/>
      <c r="N49" s="110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</row>
    <row r="50" spans="1:40">
      <c r="A50" s="115" t="s">
        <v>115</v>
      </c>
      <c r="B50" s="102">
        <v>1712.0819135130005</v>
      </c>
      <c r="C50" s="102">
        <v>1756.7738169590004</v>
      </c>
      <c r="D50" s="102">
        <v>1724.6281162300002</v>
      </c>
      <c r="E50" s="102">
        <v>1782.9422608599996</v>
      </c>
      <c r="F50" s="102">
        <v>1782.5702997839999</v>
      </c>
      <c r="G50" s="102">
        <v>1641.762899655</v>
      </c>
      <c r="H50" s="102">
        <v>1784.1585586209999</v>
      </c>
      <c r="I50" s="102">
        <v>1657.967557812</v>
      </c>
      <c r="J50" s="102">
        <v>1704.9601191180002</v>
      </c>
      <c r="K50" s="102">
        <v>1752.0522012219994</v>
      </c>
      <c r="L50" s="102">
        <v>1601.2685619259996</v>
      </c>
      <c r="M50" s="102">
        <v>1719.011414756</v>
      </c>
      <c r="N50" s="110">
        <v>20620.177720455998</v>
      </c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</row>
    <row r="51" spans="1:40">
      <c r="A51" s="101"/>
      <c r="B51" s="102"/>
      <c r="C51" s="102"/>
      <c r="D51" s="102"/>
      <c r="E51" s="102"/>
      <c r="F51" s="102"/>
      <c r="G51" s="102"/>
      <c r="H51" s="102"/>
      <c r="I51" s="102"/>
      <c r="J51" s="110"/>
      <c r="K51" s="110"/>
      <c r="L51" s="110"/>
      <c r="M51" s="110"/>
      <c r="N51" s="110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</row>
    <row r="52" spans="1:40">
      <c r="A52" s="117" t="s">
        <v>49</v>
      </c>
      <c r="B52" s="138">
        <v>20703.062641028228</v>
      </c>
      <c r="C52" s="138">
        <v>21577.847255561719</v>
      </c>
      <c r="D52" s="138">
        <v>20302.657149626422</v>
      </c>
      <c r="E52" s="138">
        <v>21777.029669920539</v>
      </c>
      <c r="F52" s="138">
        <v>21952.673353883998</v>
      </c>
      <c r="G52" s="138">
        <v>19414.997767639503</v>
      </c>
      <c r="H52" s="138">
        <v>21926.153419721384</v>
      </c>
      <c r="I52" s="138">
        <v>21900.617132258085</v>
      </c>
      <c r="J52" s="138">
        <v>20829.852056901454</v>
      </c>
      <c r="K52" s="138">
        <v>21679.184829343998</v>
      </c>
      <c r="L52" s="138">
        <v>21118.164442447327</v>
      </c>
      <c r="M52" s="138">
        <v>21203.586228458749</v>
      </c>
      <c r="N52" s="138">
        <f>+N50+N48+N43+N37+N32+N25+N20</f>
        <v>254385.82343815244</v>
      </c>
      <c r="O52" s="108"/>
      <c r="P52" s="167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</row>
    <row r="53" spans="1:40">
      <c r="A53" s="247" t="s">
        <v>68</v>
      </c>
      <c r="B53" s="248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9"/>
    </row>
    <row r="54" spans="1:40">
      <c r="A54" s="253" t="s">
        <v>124</v>
      </c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5"/>
    </row>
    <row r="55" spans="1:40">
      <c r="C55" s="165"/>
      <c r="D55" s="140"/>
      <c r="E55" s="140"/>
      <c r="F55" s="140"/>
      <c r="G55" s="140"/>
      <c r="H55" s="140"/>
      <c r="I55" s="140"/>
      <c r="J55" s="140"/>
      <c r="K55" s="141"/>
    </row>
  </sheetData>
  <mergeCells count="6">
    <mergeCell ref="A2:B6"/>
    <mergeCell ref="C2:H2"/>
    <mergeCell ref="I7:N7"/>
    <mergeCell ref="A8:N8"/>
    <mergeCell ref="A53:N53"/>
    <mergeCell ref="A54:N54"/>
  </mergeCells>
  <pageMargins left="0.75" right="0" top="0.25" bottom="0" header="0.3" footer="0.3"/>
  <pageSetup paperSize="9" scale="66" orientation="landscape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EEF93-8184-41F4-9348-C9BB3853F255}">
  <sheetPr>
    <pageSetUpPr fitToPage="1"/>
  </sheetPr>
  <dimension ref="A2:O55"/>
  <sheetViews>
    <sheetView zoomScaleNormal="100" workbookViewId="0">
      <pane xSplit="1" topLeftCell="B1" activePane="topRight" state="frozen"/>
      <selection pane="topRight" activeCell="O49" sqref="O49"/>
    </sheetView>
  </sheetViews>
  <sheetFormatPr defaultRowHeight="15"/>
  <cols>
    <col min="1" max="1" width="37.42578125" style="100" customWidth="1"/>
    <col min="2" max="10" width="10.85546875" style="100" customWidth="1"/>
    <col min="11" max="13" width="10.85546875" style="108" customWidth="1"/>
    <col min="14" max="14" width="13.5703125" style="108" customWidth="1"/>
    <col min="15" max="15" width="16.28515625" style="100" customWidth="1"/>
    <col min="16" max="16384" width="9.140625" style="100"/>
  </cols>
  <sheetData>
    <row r="2" spans="1:14" ht="20.25">
      <c r="A2" s="225"/>
      <c r="B2" s="225"/>
      <c r="C2" s="242" t="s">
        <v>0</v>
      </c>
      <c r="D2" s="242"/>
      <c r="E2" s="242"/>
      <c r="F2" s="242"/>
      <c r="G2" s="242"/>
      <c r="H2" s="242"/>
    </row>
    <row r="3" spans="1:14">
      <c r="A3" s="225"/>
      <c r="B3" s="225"/>
    </row>
    <row r="4" spans="1:14">
      <c r="A4" s="225"/>
      <c r="B4" s="225"/>
    </row>
    <row r="5" spans="1:14">
      <c r="A5" s="225"/>
      <c r="B5" s="225"/>
    </row>
    <row r="6" spans="1:14">
      <c r="A6" s="225"/>
      <c r="B6" s="225"/>
    </row>
    <row r="7" spans="1:14" ht="18.75">
      <c r="A7" s="105" t="s">
        <v>114</v>
      </c>
      <c r="B7" s="111"/>
      <c r="C7" s="111"/>
      <c r="D7" s="111"/>
      <c r="E7" s="111"/>
      <c r="F7" s="111"/>
      <c r="G7" s="111"/>
      <c r="H7" s="111"/>
      <c r="I7" s="243" t="s">
        <v>2</v>
      </c>
      <c r="J7" s="243"/>
      <c r="K7" s="243"/>
      <c r="L7" s="243"/>
      <c r="M7" s="243"/>
      <c r="N7" s="243"/>
    </row>
    <row r="8" spans="1:14" ht="19.5" customHeight="1">
      <c r="A8" s="244" t="s">
        <v>3</v>
      </c>
      <c r="B8" s="245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6"/>
    </row>
    <row r="9" spans="1:14" ht="18.75">
      <c r="A9" s="112" t="s">
        <v>51</v>
      </c>
      <c r="B9" s="113" t="s">
        <v>52</v>
      </c>
      <c r="C9" s="114" t="s">
        <v>53</v>
      </c>
      <c r="D9" s="114" t="s">
        <v>54</v>
      </c>
      <c r="E9" s="114" t="s">
        <v>55</v>
      </c>
      <c r="F9" s="114" t="s">
        <v>56</v>
      </c>
      <c r="G9" s="114" t="s">
        <v>98</v>
      </c>
      <c r="H9" s="114" t="s">
        <v>58</v>
      </c>
      <c r="I9" s="114" t="s">
        <v>59</v>
      </c>
      <c r="J9" s="114" t="s">
        <v>60</v>
      </c>
      <c r="K9" s="134" t="s">
        <v>61</v>
      </c>
      <c r="L9" s="134" t="s">
        <v>62</v>
      </c>
      <c r="M9" s="134" t="s">
        <v>63</v>
      </c>
      <c r="N9" s="134" t="s">
        <v>64</v>
      </c>
    </row>
    <row r="10" spans="1:14">
      <c r="A10" s="115" t="s">
        <v>17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2"/>
      <c r="L10" s="102"/>
      <c r="M10" s="102"/>
      <c r="N10" s="102"/>
    </row>
    <row r="11" spans="1:14">
      <c r="A11" s="101" t="s">
        <v>22</v>
      </c>
      <c r="B11" s="102">
        <v>572.55399999999997</v>
      </c>
      <c r="C11" s="102">
        <v>591.88499999999988</v>
      </c>
      <c r="D11" s="102">
        <v>475.16399999999993</v>
      </c>
      <c r="E11" s="102">
        <v>550.38699999999994</v>
      </c>
      <c r="F11" s="102">
        <v>524.09499999999991</v>
      </c>
      <c r="G11" s="102">
        <v>474.57799999999997</v>
      </c>
      <c r="H11" s="102">
        <v>587.45999999999981</v>
      </c>
      <c r="I11" s="102">
        <v>557.64599999999996</v>
      </c>
      <c r="J11" s="102">
        <v>599.70999999999992</v>
      </c>
      <c r="K11" s="102">
        <v>586.37700000000007</v>
      </c>
      <c r="L11" s="102">
        <v>545.59800000000018</v>
      </c>
      <c r="M11" s="102">
        <v>595.73399999999992</v>
      </c>
      <c r="N11" s="110">
        <v>6661.1880000000001</v>
      </c>
    </row>
    <row r="12" spans="1:14">
      <c r="A12" s="101" t="s">
        <v>18</v>
      </c>
      <c r="B12" s="102">
        <v>1244.855</v>
      </c>
      <c r="C12" s="102">
        <v>1198.508</v>
      </c>
      <c r="D12" s="102">
        <v>1166.367</v>
      </c>
      <c r="E12" s="102">
        <v>970.55599999999993</v>
      </c>
      <c r="F12" s="102">
        <v>1004.8020000000001</v>
      </c>
      <c r="G12" s="102">
        <v>1002.126</v>
      </c>
      <c r="H12" s="102">
        <v>1260.558</v>
      </c>
      <c r="I12" s="102">
        <v>1229.963</v>
      </c>
      <c r="J12" s="102">
        <v>1188.6579999999999</v>
      </c>
      <c r="K12" s="102">
        <v>1182.8649999999998</v>
      </c>
      <c r="L12" s="102">
        <v>1074.6669999999999</v>
      </c>
      <c r="M12" s="102">
        <v>980.99300000000005</v>
      </c>
      <c r="N12" s="110">
        <v>13504.918</v>
      </c>
    </row>
    <row r="13" spans="1:14">
      <c r="A13" s="101" t="s">
        <v>21</v>
      </c>
      <c r="B13" s="102">
        <v>685.303</v>
      </c>
      <c r="C13" s="102">
        <v>638.90499999999997</v>
      </c>
      <c r="D13" s="102">
        <v>687.72199999999987</v>
      </c>
      <c r="E13" s="102">
        <v>699.41</v>
      </c>
      <c r="F13" s="102">
        <v>646.077</v>
      </c>
      <c r="G13" s="102">
        <v>676.0809999999999</v>
      </c>
      <c r="H13" s="102">
        <v>705.3130000000001</v>
      </c>
      <c r="I13" s="102">
        <v>571.827</v>
      </c>
      <c r="J13" s="102">
        <v>688.70500000000004</v>
      </c>
      <c r="K13" s="102">
        <v>617.38400000000001</v>
      </c>
      <c r="L13" s="102">
        <v>638.82600000000002</v>
      </c>
      <c r="M13" s="102">
        <v>709.30300000000011</v>
      </c>
      <c r="N13" s="110">
        <v>7964.8559999999998</v>
      </c>
    </row>
    <row r="14" spans="1:14">
      <c r="A14" s="101" t="s">
        <v>19</v>
      </c>
      <c r="B14" s="102">
        <v>846.66100000000006</v>
      </c>
      <c r="C14" s="102">
        <v>858.81899999999996</v>
      </c>
      <c r="D14" s="102">
        <v>841.89999999999986</v>
      </c>
      <c r="E14" s="102">
        <v>813.75300000000004</v>
      </c>
      <c r="F14" s="102">
        <v>755.6640000000001</v>
      </c>
      <c r="G14" s="102">
        <v>720.78100000000006</v>
      </c>
      <c r="H14" s="102">
        <v>874.42600000000004</v>
      </c>
      <c r="I14" s="102">
        <v>841.44600000000014</v>
      </c>
      <c r="J14" s="102">
        <v>821.51099999999997</v>
      </c>
      <c r="K14" s="102">
        <v>722.63200000000006</v>
      </c>
      <c r="L14" s="102">
        <v>772.37800000000016</v>
      </c>
      <c r="M14" s="102">
        <v>866.56500000000005</v>
      </c>
      <c r="N14" s="110">
        <v>9736.5360000000019</v>
      </c>
    </row>
    <row r="15" spans="1:14">
      <c r="A15" s="101" t="s">
        <v>20</v>
      </c>
      <c r="B15" s="102">
        <v>1351.4010000000001</v>
      </c>
      <c r="C15" s="102">
        <v>1384.817</v>
      </c>
      <c r="D15" s="102">
        <v>1345.672</v>
      </c>
      <c r="E15" s="102">
        <v>1386.1390000000001</v>
      </c>
      <c r="F15" s="102">
        <v>1383.2529999999999</v>
      </c>
      <c r="G15" s="102">
        <v>1332.4829999999999</v>
      </c>
      <c r="H15" s="102">
        <v>1383.107</v>
      </c>
      <c r="I15" s="102">
        <v>1340.27</v>
      </c>
      <c r="J15" s="102">
        <v>1388.5039999999999</v>
      </c>
      <c r="K15" s="102">
        <v>1384.2190000000001</v>
      </c>
      <c r="L15" s="102">
        <v>889.97</v>
      </c>
      <c r="M15" s="102">
        <v>710.68200000000002</v>
      </c>
      <c r="N15" s="110">
        <v>15280.517000000002</v>
      </c>
    </row>
    <row r="16" spans="1:14">
      <c r="A16" s="101" t="s">
        <v>23</v>
      </c>
      <c r="B16" s="102">
        <v>90.001999999999995</v>
      </c>
      <c r="C16" s="102">
        <v>91.933000000000007</v>
      </c>
      <c r="D16" s="102">
        <v>90.725999999999999</v>
      </c>
      <c r="E16" s="102">
        <v>91.637</v>
      </c>
      <c r="F16" s="102">
        <v>90.563999999999993</v>
      </c>
      <c r="G16" s="102">
        <v>90.582999999999998</v>
      </c>
      <c r="H16" s="102">
        <v>65.862000000000009</v>
      </c>
      <c r="I16" s="102">
        <v>79.872</v>
      </c>
      <c r="J16" s="102">
        <v>15.919</v>
      </c>
      <c r="K16" s="102">
        <v>0</v>
      </c>
      <c r="L16" s="102">
        <v>74.878999999999991</v>
      </c>
      <c r="M16" s="102">
        <v>81.191999999999993</v>
      </c>
      <c r="N16" s="110">
        <v>863.16899999999987</v>
      </c>
    </row>
    <row r="17" spans="1:14">
      <c r="A17" s="101" t="s">
        <v>24</v>
      </c>
      <c r="B17" s="102">
        <v>55.823999999999998</v>
      </c>
      <c r="C17" s="102">
        <v>58.2</v>
      </c>
      <c r="D17" s="102">
        <v>56.338999999999999</v>
      </c>
      <c r="E17" s="102">
        <v>58.500999999999998</v>
      </c>
      <c r="F17" s="102">
        <v>51.707000000000001</v>
      </c>
      <c r="G17" s="102">
        <v>58.113</v>
      </c>
      <c r="H17" s="102">
        <v>59.646000000000001</v>
      </c>
      <c r="I17" s="102">
        <v>56.473999999999997</v>
      </c>
      <c r="J17" s="102">
        <v>53.696999999999996</v>
      </c>
      <c r="K17" s="102">
        <v>56.47</v>
      </c>
      <c r="L17" s="102">
        <v>49.033000000000001</v>
      </c>
      <c r="M17" s="102">
        <v>61.52</v>
      </c>
      <c r="N17" s="110">
        <v>675.524</v>
      </c>
    </row>
    <row r="18" spans="1:14">
      <c r="A18" s="101" t="s">
        <v>25</v>
      </c>
      <c r="B18" s="102">
        <v>184.19000000000003</v>
      </c>
      <c r="C18" s="102">
        <v>196.57299999999998</v>
      </c>
      <c r="D18" s="102">
        <v>195.84799999999998</v>
      </c>
      <c r="E18" s="102">
        <v>210.58</v>
      </c>
      <c r="F18" s="102">
        <v>212.53399999999999</v>
      </c>
      <c r="G18" s="102">
        <v>200.90099999999995</v>
      </c>
      <c r="H18" s="102">
        <v>207.22999999999996</v>
      </c>
      <c r="I18" s="102">
        <v>197.83700000000002</v>
      </c>
      <c r="J18" s="102">
        <v>226.60400000000004</v>
      </c>
      <c r="K18" s="102">
        <v>240.63900000000001</v>
      </c>
      <c r="L18" s="102">
        <v>214.33099999999999</v>
      </c>
      <c r="M18" s="102">
        <v>225.50600000000003</v>
      </c>
      <c r="N18" s="110">
        <v>2512.7730000000001</v>
      </c>
    </row>
    <row r="19" spans="1:14">
      <c r="A19" s="101" t="s">
        <v>99</v>
      </c>
      <c r="B19" s="102">
        <v>279.09399999999999</v>
      </c>
      <c r="C19" s="102">
        <v>1265.5259999999998</v>
      </c>
      <c r="D19" s="102">
        <v>1211.6379999999999</v>
      </c>
      <c r="E19" s="102">
        <v>1330.4060000000002</v>
      </c>
      <c r="F19" s="102">
        <v>1330.2069999999999</v>
      </c>
      <c r="G19" s="102">
        <v>1150.6029999999998</v>
      </c>
      <c r="H19" s="102">
        <v>1284.1490000000001</v>
      </c>
      <c r="I19" s="102">
        <v>1348.6420000000001</v>
      </c>
      <c r="J19" s="102">
        <v>1346.626</v>
      </c>
      <c r="K19" s="102">
        <v>1381.1690000000001</v>
      </c>
      <c r="L19" s="102">
        <v>1260.1290000000001</v>
      </c>
      <c r="M19" s="102">
        <v>1428.1960000000001</v>
      </c>
      <c r="N19" s="110">
        <v>14616.385</v>
      </c>
    </row>
    <row r="20" spans="1:14">
      <c r="A20" s="115" t="s">
        <v>27</v>
      </c>
      <c r="B20" s="110">
        <v>5309.884</v>
      </c>
      <c r="C20" s="110">
        <v>6285.1659999999993</v>
      </c>
      <c r="D20" s="110">
        <v>6071.3759999999984</v>
      </c>
      <c r="E20" s="110">
        <v>6111.3689999999997</v>
      </c>
      <c r="F20" s="110">
        <v>5998.9030000000002</v>
      </c>
      <c r="G20" s="110">
        <v>5706.2489999999998</v>
      </c>
      <c r="H20" s="110">
        <v>6427.7509999999993</v>
      </c>
      <c r="I20" s="110">
        <v>6223.9770000000008</v>
      </c>
      <c r="J20" s="110">
        <v>6329.9340000000002</v>
      </c>
      <c r="K20" s="110">
        <v>6171.7550000000001</v>
      </c>
      <c r="L20" s="110">
        <v>5519.8109999999997</v>
      </c>
      <c r="M20" s="110">
        <v>5659.6909999999998</v>
      </c>
      <c r="N20" s="110">
        <v>71815.865999999995</v>
      </c>
    </row>
    <row r="21" spans="1:14">
      <c r="A21" s="101"/>
      <c r="B21" s="102"/>
      <c r="C21" s="102"/>
      <c r="D21" s="102"/>
      <c r="E21" s="102"/>
      <c r="F21" s="102"/>
      <c r="G21" s="102"/>
      <c r="H21" s="102"/>
      <c r="I21" s="102"/>
      <c r="J21" s="110"/>
      <c r="K21" s="110"/>
      <c r="L21" s="110"/>
      <c r="M21" s="110"/>
      <c r="N21" s="110"/>
    </row>
    <row r="22" spans="1:14">
      <c r="A22" s="115" t="s">
        <v>102</v>
      </c>
      <c r="B22" s="102"/>
      <c r="C22" s="102"/>
      <c r="D22" s="102"/>
      <c r="E22" s="102"/>
      <c r="F22" s="102"/>
      <c r="G22" s="102"/>
      <c r="H22" s="102"/>
      <c r="I22" s="102"/>
      <c r="J22" s="110"/>
      <c r="K22" s="110"/>
      <c r="L22" s="110"/>
      <c r="M22" s="110"/>
      <c r="N22" s="110"/>
    </row>
    <row r="23" spans="1:14">
      <c r="A23" s="101" t="s">
        <v>37</v>
      </c>
      <c r="B23" s="102">
        <v>826.92978869399997</v>
      </c>
      <c r="C23" s="102">
        <v>806.53953843823649</v>
      </c>
      <c r="D23" s="102">
        <v>875.5770030000001</v>
      </c>
      <c r="E23" s="102">
        <v>961.02073099999996</v>
      </c>
      <c r="F23" s="102">
        <v>954.18627919999994</v>
      </c>
      <c r="G23" s="102">
        <v>924.00506450000023</v>
      </c>
      <c r="H23" s="102">
        <v>629.77971719999982</v>
      </c>
      <c r="I23" s="102">
        <v>582.0477292999999</v>
      </c>
      <c r="J23" s="102">
        <v>938.70215072503538</v>
      </c>
      <c r="K23" s="102">
        <v>958.19122119999997</v>
      </c>
      <c r="L23" s="102">
        <v>872.3259422000001</v>
      </c>
      <c r="M23" s="102">
        <v>942.02817358558423</v>
      </c>
      <c r="N23" s="110">
        <v>10271.333339042858</v>
      </c>
    </row>
    <row r="24" spans="1:14">
      <c r="A24" s="101" t="s">
        <v>38</v>
      </c>
      <c r="B24" s="102">
        <v>35.332999999999998</v>
      </c>
      <c r="C24" s="102">
        <v>34.682000000000002</v>
      </c>
      <c r="D24" s="102">
        <v>41.445</v>
      </c>
      <c r="E24" s="102">
        <v>29.934999999999999</v>
      </c>
      <c r="F24" s="102">
        <v>0</v>
      </c>
      <c r="G24" s="102">
        <v>36.804000000000002</v>
      </c>
      <c r="H24" s="102">
        <v>44.317</v>
      </c>
      <c r="I24" s="102">
        <v>45.230000000000004</v>
      </c>
      <c r="J24" s="102">
        <v>38.949999999999996</v>
      </c>
      <c r="K24" s="102">
        <v>45.771000000000001</v>
      </c>
      <c r="L24" s="102">
        <v>9.0519999999999996</v>
      </c>
      <c r="M24" s="102">
        <v>61.847999999999999</v>
      </c>
      <c r="N24" s="110">
        <v>423.36700000000008</v>
      </c>
    </row>
    <row r="25" spans="1:14">
      <c r="A25" s="115" t="s">
        <v>39</v>
      </c>
      <c r="B25" s="110">
        <v>862.26278869399994</v>
      </c>
      <c r="C25" s="110">
        <v>841.22153843823651</v>
      </c>
      <c r="D25" s="110">
        <v>917.02200300000015</v>
      </c>
      <c r="E25" s="110">
        <v>990.9557309999999</v>
      </c>
      <c r="F25" s="110">
        <v>954.18627919999994</v>
      </c>
      <c r="G25" s="110">
        <v>960.8090645000002</v>
      </c>
      <c r="H25" s="110">
        <v>674.09671719999983</v>
      </c>
      <c r="I25" s="110">
        <v>627.27772929999992</v>
      </c>
      <c r="J25" s="110">
        <v>977.65215072503543</v>
      </c>
      <c r="K25" s="110">
        <v>1003.9622211999999</v>
      </c>
      <c r="L25" s="110">
        <v>881.37794220000012</v>
      </c>
      <c r="M25" s="110">
        <v>1003.8761735855842</v>
      </c>
      <c r="N25" s="110">
        <v>10694.700339042856</v>
      </c>
    </row>
    <row r="26" spans="1:14">
      <c r="A26" s="101"/>
      <c r="B26" s="102"/>
      <c r="C26" s="102"/>
      <c r="D26" s="102"/>
      <c r="E26" s="102"/>
      <c r="F26" s="102"/>
      <c r="G26" s="102"/>
      <c r="H26" s="102"/>
      <c r="I26" s="102"/>
      <c r="J26" s="110"/>
      <c r="K26" s="110"/>
      <c r="L26" s="110"/>
      <c r="M26" s="110"/>
      <c r="N26" s="110"/>
    </row>
    <row r="27" spans="1:14">
      <c r="A27" s="115" t="s">
        <v>101</v>
      </c>
      <c r="B27" s="102"/>
      <c r="C27" s="102"/>
      <c r="D27" s="102"/>
      <c r="E27" s="102"/>
      <c r="F27" s="102"/>
      <c r="G27" s="102"/>
      <c r="H27" s="102"/>
      <c r="I27" s="102"/>
      <c r="J27" s="110"/>
      <c r="K27" s="110"/>
      <c r="L27" s="110"/>
      <c r="M27" s="110"/>
      <c r="N27" s="110"/>
    </row>
    <row r="28" spans="1:14">
      <c r="A28" s="101" t="s">
        <v>33</v>
      </c>
      <c r="B28" s="102">
        <v>1246.4483740000001</v>
      </c>
      <c r="C28" s="102">
        <v>1231.5032079999999</v>
      </c>
      <c r="D28" s="102">
        <v>1267.6385829130159</v>
      </c>
      <c r="E28" s="102">
        <v>1256.9444241615884</v>
      </c>
      <c r="F28" s="102">
        <v>1051.1379180000001</v>
      </c>
      <c r="G28" s="102">
        <v>1149.8217049999998</v>
      </c>
      <c r="H28" s="102">
        <v>1303.2448379695768</v>
      </c>
      <c r="I28" s="102">
        <v>1217.6933949252455</v>
      </c>
      <c r="J28" s="102">
        <v>1260.5955079999999</v>
      </c>
      <c r="K28" s="102">
        <v>1236.2534097480288</v>
      </c>
      <c r="L28" s="102">
        <v>1180.296065</v>
      </c>
      <c r="M28" s="102">
        <v>1371.1365025029686</v>
      </c>
      <c r="N28" s="110">
        <v>14772.713930220423</v>
      </c>
    </row>
    <row r="29" spans="1:14">
      <c r="A29" s="101" t="s">
        <v>65</v>
      </c>
      <c r="B29" s="102">
        <v>1264.5858500944687</v>
      </c>
      <c r="C29" s="102">
        <v>1448.92734</v>
      </c>
      <c r="D29" s="102">
        <v>1315.280849351421</v>
      </c>
      <c r="E29" s="102">
        <v>1357.000728050049</v>
      </c>
      <c r="F29" s="102">
        <v>1459.5201239999992</v>
      </c>
      <c r="G29" s="102">
        <v>1352.1742387352531</v>
      </c>
      <c r="H29" s="102">
        <v>1265.9353676443284</v>
      </c>
      <c r="I29" s="102">
        <v>1350.7243106999997</v>
      </c>
      <c r="J29" s="102">
        <v>955.76640956474728</v>
      </c>
      <c r="K29" s="102">
        <v>1517.2138179543256</v>
      </c>
      <c r="L29" s="102">
        <v>1341.677032864746</v>
      </c>
      <c r="M29" s="102">
        <v>1421.9134048999999</v>
      </c>
      <c r="N29" s="110">
        <v>16050.719473859337</v>
      </c>
    </row>
    <row r="30" spans="1:14">
      <c r="A30" s="101" t="s">
        <v>67</v>
      </c>
      <c r="B30" s="102">
        <v>462.35152000000005</v>
      </c>
      <c r="C30" s="102">
        <v>640.07475799999997</v>
      </c>
      <c r="D30" s="102">
        <v>615.87984000000006</v>
      </c>
      <c r="E30" s="102">
        <v>642.86412000000007</v>
      </c>
      <c r="F30" s="102">
        <v>153.95644100000001</v>
      </c>
      <c r="G30" s="102">
        <v>0</v>
      </c>
      <c r="H30" s="102">
        <v>81.557993999999994</v>
      </c>
      <c r="I30" s="102">
        <v>490.21242099999995</v>
      </c>
      <c r="J30" s="102">
        <v>572.89851999999996</v>
      </c>
      <c r="K30" s="102">
        <v>717.78216999999995</v>
      </c>
      <c r="L30" s="102">
        <v>635.52754600000003</v>
      </c>
      <c r="M30" s="102">
        <v>702.77605599999993</v>
      </c>
      <c r="N30" s="110">
        <v>5715.8813859999991</v>
      </c>
    </row>
    <row r="31" spans="1:14">
      <c r="A31" s="101" t="s">
        <v>66</v>
      </c>
      <c r="B31" s="102">
        <v>224.45255200000003</v>
      </c>
      <c r="C31" s="102">
        <v>213.78956099999996</v>
      </c>
      <c r="D31" s="102">
        <v>237.56864200000001</v>
      </c>
      <c r="E31" s="102">
        <v>238.738429</v>
      </c>
      <c r="F31" s="102">
        <v>271.48518299999995</v>
      </c>
      <c r="G31" s="102">
        <v>240.55032269699998</v>
      </c>
      <c r="H31" s="102">
        <v>255.56761930299999</v>
      </c>
      <c r="I31" s="102">
        <v>253.48876899999999</v>
      </c>
      <c r="J31" s="102">
        <v>263.50700000000001</v>
      </c>
      <c r="K31" s="102">
        <v>239.99752399999997</v>
      </c>
      <c r="L31" s="102">
        <v>215.14494783299997</v>
      </c>
      <c r="M31" s="102">
        <v>246.09505316700003</v>
      </c>
      <c r="N31" s="110">
        <v>2900.3856029999997</v>
      </c>
    </row>
    <row r="32" spans="1:14">
      <c r="A32" s="115" t="s">
        <v>35</v>
      </c>
      <c r="B32" s="110">
        <v>3197.8382960944691</v>
      </c>
      <c r="C32" s="110">
        <v>3534.2948670000001</v>
      </c>
      <c r="D32" s="110">
        <v>3436.3679142644373</v>
      </c>
      <c r="E32" s="110">
        <v>3495.5477012116376</v>
      </c>
      <c r="F32" s="110">
        <v>2936.0996659999987</v>
      </c>
      <c r="G32" s="110">
        <v>2742.5462664322527</v>
      </c>
      <c r="H32" s="110">
        <v>2906.3058189169046</v>
      </c>
      <c r="I32" s="110">
        <v>3312.1188956252449</v>
      </c>
      <c r="J32" s="110">
        <v>3052.7674375647471</v>
      </c>
      <c r="K32" s="110">
        <v>3711.2469217023545</v>
      </c>
      <c r="L32" s="110">
        <v>3372.6455916977461</v>
      </c>
      <c r="M32" s="110">
        <v>3741.9210165699683</v>
      </c>
      <c r="N32" s="110">
        <v>39439.700393079758</v>
      </c>
    </row>
    <row r="33" spans="1:14">
      <c r="A33" s="101"/>
      <c r="B33" s="102"/>
      <c r="C33" s="102"/>
      <c r="D33" s="102"/>
      <c r="E33" s="102"/>
      <c r="F33" s="102"/>
      <c r="G33" s="102"/>
      <c r="H33" s="102"/>
      <c r="I33" s="102"/>
      <c r="J33" s="110"/>
      <c r="K33" s="110"/>
      <c r="L33" s="110"/>
      <c r="M33" s="110"/>
      <c r="N33" s="110"/>
    </row>
    <row r="34" spans="1:14">
      <c r="A34" s="115" t="s">
        <v>103</v>
      </c>
      <c r="B34" s="102"/>
      <c r="C34" s="102"/>
      <c r="D34" s="102"/>
      <c r="E34" s="102"/>
      <c r="F34" s="102"/>
      <c r="G34" s="102"/>
      <c r="H34" s="102"/>
      <c r="I34" s="102"/>
      <c r="J34" s="110"/>
      <c r="K34" s="110"/>
      <c r="L34" s="110"/>
      <c r="M34" s="110"/>
      <c r="N34" s="110"/>
    </row>
    <row r="35" spans="1:14">
      <c r="A35" s="101" t="s">
        <v>41</v>
      </c>
      <c r="B35" s="102">
        <v>6.7455850000000002</v>
      </c>
      <c r="C35" s="102">
        <v>5.8666919999999996</v>
      </c>
      <c r="D35" s="102">
        <v>3.4357480000000002</v>
      </c>
      <c r="E35" s="102">
        <v>3.5059830000000001</v>
      </c>
      <c r="F35" s="102">
        <v>4.5190760000000001</v>
      </c>
      <c r="G35" s="102">
        <v>4.95242</v>
      </c>
      <c r="H35" s="102">
        <v>5.3201850000000004</v>
      </c>
      <c r="I35" s="102">
        <v>4.0172100000000004</v>
      </c>
      <c r="J35" s="102">
        <v>5.3074449999999995</v>
      </c>
      <c r="K35" s="102">
        <v>7.498545</v>
      </c>
      <c r="L35" s="102">
        <v>7.057067</v>
      </c>
      <c r="M35" s="102">
        <v>7.9302979999999996</v>
      </c>
      <c r="N35" s="110">
        <v>66.15625399999999</v>
      </c>
    </row>
    <row r="36" spans="1:14">
      <c r="A36" s="101" t="s">
        <v>42</v>
      </c>
      <c r="B36" s="102">
        <v>1253.7689999999998</v>
      </c>
      <c r="C36" s="102">
        <v>1219.2758689999998</v>
      </c>
      <c r="D36" s="102">
        <v>1378.1979999999999</v>
      </c>
      <c r="E36" s="102">
        <v>1353.2620000000002</v>
      </c>
      <c r="F36" s="102">
        <v>1115.378283</v>
      </c>
      <c r="G36" s="102">
        <v>1332.2158210000002</v>
      </c>
      <c r="H36" s="102">
        <v>1478.5404589999998</v>
      </c>
      <c r="I36" s="102">
        <v>1428.3937456000003</v>
      </c>
      <c r="J36" s="102">
        <v>1468.354</v>
      </c>
      <c r="K36" s="102">
        <v>1459.31</v>
      </c>
      <c r="L36" s="102">
        <v>1328.3404</v>
      </c>
      <c r="M36" s="102">
        <v>1416.0070000000001</v>
      </c>
      <c r="N36" s="110">
        <v>16231.0445776</v>
      </c>
    </row>
    <row r="37" spans="1:14">
      <c r="A37" s="115" t="s">
        <v>43</v>
      </c>
      <c r="B37" s="110">
        <v>1260.5145849999997</v>
      </c>
      <c r="C37" s="110">
        <v>1225.1425609999999</v>
      </c>
      <c r="D37" s="110">
        <v>1381.633748</v>
      </c>
      <c r="E37" s="110">
        <v>1356.7679830000002</v>
      </c>
      <c r="F37" s="110">
        <v>1119.8973590000001</v>
      </c>
      <c r="G37" s="110">
        <v>1337.1682410000003</v>
      </c>
      <c r="H37" s="110">
        <v>1483.8606439999999</v>
      </c>
      <c r="I37" s="110">
        <v>1432.4109556000003</v>
      </c>
      <c r="J37" s="110">
        <v>1473.661445</v>
      </c>
      <c r="K37" s="110">
        <v>1466.8085449999999</v>
      </c>
      <c r="L37" s="110">
        <v>1335.397467</v>
      </c>
      <c r="M37" s="110">
        <v>1423.9372980000001</v>
      </c>
      <c r="N37" s="110">
        <v>16297.200831600001</v>
      </c>
    </row>
    <row r="38" spans="1:14">
      <c r="A38" s="101"/>
      <c r="B38" s="102"/>
      <c r="C38" s="102"/>
      <c r="D38" s="102"/>
      <c r="E38" s="102"/>
      <c r="F38" s="102"/>
      <c r="G38" s="102"/>
      <c r="H38" s="102"/>
      <c r="I38" s="102"/>
      <c r="J38" s="110"/>
      <c r="K38" s="110"/>
      <c r="L38" s="110"/>
      <c r="M38" s="110"/>
      <c r="N38" s="110"/>
    </row>
    <row r="39" spans="1:14">
      <c r="A39" s="101" t="s">
        <v>29</v>
      </c>
      <c r="B39" s="102">
        <v>701.92416400000002</v>
      </c>
      <c r="C39" s="102">
        <v>733.10455000000002</v>
      </c>
      <c r="D39" s="102">
        <v>674.95323299999995</v>
      </c>
      <c r="E39" s="102">
        <v>760.40595499999995</v>
      </c>
      <c r="F39" s="102">
        <v>762.20072200000004</v>
      </c>
      <c r="G39" s="102">
        <v>741.85111800000004</v>
      </c>
      <c r="H39" s="102">
        <v>677.23131000000012</v>
      </c>
      <c r="I39" s="102">
        <v>751.8298400000001</v>
      </c>
      <c r="J39" s="102">
        <v>725.66557299999999</v>
      </c>
      <c r="K39" s="102">
        <v>674.33162199999992</v>
      </c>
      <c r="L39" s="102">
        <v>696.83719699999995</v>
      </c>
      <c r="M39" s="102">
        <v>770.59445900000003</v>
      </c>
      <c r="N39" s="110">
        <v>8670.9297430000006</v>
      </c>
    </row>
    <row r="40" spans="1:14">
      <c r="A40" s="101" t="s">
        <v>30</v>
      </c>
      <c r="B40" s="102">
        <v>765.16911199999993</v>
      </c>
      <c r="C40" s="102">
        <v>813.80809099999999</v>
      </c>
      <c r="D40" s="102">
        <v>832.19057299999997</v>
      </c>
      <c r="E40" s="102">
        <v>838.11544700000002</v>
      </c>
      <c r="F40" s="102">
        <v>839.11138800000015</v>
      </c>
      <c r="G40" s="102">
        <v>814.17843700000003</v>
      </c>
      <c r="H40" s="102">
        <v>851.12276899999983</v>
      </c>
      <c r="I40" s="102">
        <v>793.74099899999999</v>
      </c>
      <c r="J40" s="102">
        <v>765.51215599999989</v>
      </c>
      <c r="K40" s="102">
        <v>834.31440099999986</v>
      </c>
      <c r="L40" s="102">
        <v>769.169127</v>
      </c>
      <c r="M40" s="102">
        <v>856.70604900000012</v>
      </c>
      <c r="N40" s="110">
        <v>9773.1385489999993</v>
      </c>
    </row>
    <row r="41" spans="1:14">
      <c r="A41" s="101" t="s">
        <v>72</v>
      </c>
      <c r="B41" s="102">
        <v>1038.3030000000001</v>
      </c>
      <c r="C41" s="102">
        <v>1051.3499999999999</v>
      </c>
      <c r="D41" s="102">
        <v>1035.1110000000001</v>
      </c>
      <c r="E41" s="102">
        <v>1031.827</v>
      </c>
      <c r="F41" s="102">
        <v>1034.3119999999999</v>
      </c>
      <c r="G41" s="102">
        <v>1012.944</v>
      </c>
      <c r="H41" s="102">
        <v>1077.7650000000001</v>
      </c>
      <c r="I41" s="102">
        <v>1042.7660000000001</v>
      </c>
      <c r="J41" s="102">
        <v>1085.2270000000001</v>
      </c>
      <c r="K41" s="102">
        <v>961.61</v>
      </c>
      <c r="L41" s="102">
        <v>1006.8049999999999</v>
      </c>
      <c r="M41" s="102">
        <v>1094.7840000000001</v>
      </c>
      <c r="N41" s="110">
        <v>12472.804000000002</v>
      </c>
    </row>
    <row r="42" spans="1:14">
      <c r="A42" s="115" t="s">
        <v>31</v>
      </c>
      <c r="B42" s="110">
        <v>2505.3962760000004</v>
      </c>
      <c r="C42" s="110">
        <v>2598.2626409999998</v>
      </c>
      <c r="D42" s="110">
        <v>2542.2548059999999</v>
      </c>
      <c r="E42" s="110">
        <v>2630.3484019999996</v>
      </c>
      <c r="F42" s="110">
        <v>2635.6241100000002</v>
      </c>
      <c r="G42" s="110">
        <v>2568.973555</v>
      </c>
      <c r="H42" s="110">
        <v>2606.1190790000001</v>
      </c>
      <c r="I42" s="110">
        <v>2588.3368390000001</v>
      </c>
      <c r="J42" s="110">
        <v>2576.4047289999999</v>
      </c>
      <c r="K42" s="110">
        <v>2470.2560229999999</v>
      </c>
      <c r="L42" s="110">
        <v>2472.8113239999998</v>
      </c>
      <c r="M42" s="110">
        <v>2722.0845080000004</v>
      </c>
      <c r="N42" s="110">
        <v>30916.872292000004</v>
      </c>
    </row>
    <row r="43" spans="1:14">
      <c r="A43" s="101"/>
      <c r="B43" s="102"/>
      <c r="C43" s="102"/>
      <c r="D43" s="102"/>
      <c r="E43" s="102"/>
      <c r="F43" s="108"/>
      <c r="G43" s="102"/>
      <c r="H43" s="102"/>
      <c r="I43" s="102"/>
      <c r="J43" s="110"/>
      <c r="K43" s="110"/>
      <c r="L43" s="110"/>
      <c r="M43" s="110"/>
      <c r="N43" s="110"/>
    </row>
    <row r="44" spans="1:14">
      <c r="A44" s="115" t="s">
        <v>44</v>
      </c>
      <c r="B44" s="102"/>
      <c r="C44" s="102"/>
      <c r="D44" s="102"/>
      <c r="E44" s="102"/>
      <c r="F44" s="102"/>
      <c r="G44" s="102"/>
      <c r="H44" s="102"/>
      <c r="I44" s="102"/>
      <c r="J44" s="110"/>
      <c r="K44" s="110"/>
      <c r="L44" s="110"/>
      <c r="M44" s="110"/>
      <c r="N44" s="110"/>
    </row>
    <row r="45" spans="1:14">
      <c r="A45" s="101" t="s">
        <v>45</v>
      </c>
      <c r="B45" s="102">
        <v>2685.8150150000006</v>
      </c>
      <c r="C45" s="102">
        <v>2782.6678810000008</v>
      </c>
      <c r="D45" s="102">
        <v>2701.3693969999995</v>
      </c>
      <c r="E45" s="102">
        <v>2836.7082230000001</v>
      </c>
      <c r="F45" s="102">
        <v>2792.8568570000002</v>
      </c>
      <c r="G45" s="102">
        <v>2663.6730160000002</v>
      </c>
      <c r="H45" s="102">
        <v>2762.1707269999997</v>
      </c>
      <c r="I45" s="102">
        <v>2683.7933579999999</v>
      </c>
      <c r="J45" s="102">
        <v>2806.9778449999999</v>
      </c>
      <c r="K45" s="102">
        <v>2211.4516150000004</v>
      </c>
      <c r="L45" s="102">
        <v>1974.9459770000003</v>
      </c>
      <c r="M45" s="102">
        <v>2849.7213309999993</v>
      </c>
      <c r="N45" s="110">
        <v>31752.151242000004</v>
      </c>
    </row>
    <row r="46" spans="1:14">
      <c r="A46" s="101" t="s">
        <v>46</v>
      </c>
      <c r="B46" s="102">
        <v>2301.2820000000002</v>
      </c>
      <c r="C46" s="102">
        <v>3184.616</v>
      </c>
      <c r="D46" s="102">
        <v>3091.0070000000001</v>
      </c>
      <c r="E46" s="102">
        <v>3200.9639999999999</v>
      </c>
      <c r="F46" s="102">
        <v>3219.1289999999999</v>
      </c>
      <c r="G46" s="102">
        <v>3137.663</v>
      </c>
      <c r="H46" s="102">
        <v>3241.2750000000001</v>
      </c>
      <c r="I46" s="102">
        <v>3230.1790000000001</v>
      </c>
      <c r="J46" s="102">
        <v>3332.4290000000001</v>
      </c>
      <c r="K46" s="102">
        <v>3203.3209999999999</v>
      </c>
      <c r="L46" s="102">
        <v>2946.7930000000001</v>
      </c>
      <c r="M46" s="102">
        <v>3304.19</v>
      </c>
      <c r="N46" s="110">
        <v>37392.848000000005</v>
      </c>
    </row>
    <row r="47" spans="1:14">
      <c r="A47" s="115" t="s">
        <v>47</v>
      </c>
      <c r="B47" s="110">
        <v>4987.0970150000012</v>
      </c>
      <c r="C47" s="110">
        <v>5967.2838810000012</v>
      </c>
      <c r="D47" s="110">
        <v>5792.376397</v>
      </c>
      <c r="E47" s="110">
        <v>6037.6722229999996</v>
      </c>
      <c r="F47" s="110">
        <v>6011.9858569999997</v>
      </c>
      <c r="G47" s="110">
        <v>5801.3360160000002</v>
      </c>
      <c r="H47" s="110">
        <v>6003.4457270000003</v>
      </c>
      <c r="I47" s="110">
        <v>5913.972358</v>
      </c>
      <c r="J47" s="110">
        <v>6139.4068449999995</v>
      </c>
      <c r="K47" s="110">
        <v>5414.7726149999999</v>
      </c>
      <c r="L47" s="110">
        <v>4921.7389770000009</v>
      </c>
      <c r="M47" s="110">
        <v>6153.9113309999993</v>
      </c>
      <c r="N47" s="110">
        <v>69144.999242000005</v>
      </c>
    </row>
    <row r="48" spans="1:14">
      <c r="A48" s="101"/>
      <c r="B48" s="102"/>
      <c r="C48" s="102"/>
      <c r="D48" s="102"/>
      <c r="E48" s="102"/>
      <c r="F48" s="102"/>
      <c r="G48" s="102"/>
      <c r="H48" s="102"/>
      <c r="I48" s="102"/>
      <c r="J48" s="110"/>
      <c r="K48" s="110"/>
      <c r="L48" s="110"/>
      <c r="M48" s="110"/>
      <c r="N48" s="110"/>
    </row>
    <row r="49" spans="1:15">
      <c r="A49" s="115" t="s">
        <v>115</v>
      </c>
      <c r="B49" s="102">
        <v>1729.8367216050001</v>
      </c>
      <c r="C49" s="102">
        <v>1789.7169523940001</v>
      </c>
      <c r="D49" s="102">
        <v>1723.9942948720002</v>
      </c>
      <c r="E49" s="102">
        <v>1787.021317923</v>
      </c>
      <c r="F49" s="102">
        <v>1781.1481192919998</v>
      </c>
      <c r="G49" s="102">
        <v>1734.3998280570004</v>
      </c>
      <c r="H49" s="102">
        <v>1781.4799552869999</v>
      </c>
      <c r="I49" s="102">
        <v>1010.112527182</v>
      </c>
      <c r="J49" s="102">
        <v>482.09232841800008</v>
      </c>
      <c r="K49" s="102">
        <v>1706.0545092270002</v>
      </c>
      <c r="L49" s="102">
        <v>1579.6447528740002</v>
      </c>
      <c r="M49" s="102">
        <v>1790.0135497220003</v>
      </c>
      <c r="N49" s="110">
        <v>18895.514856852998</v>
      </c>
    </row>
    <row r="50" spans="1:15">
      <c r="A50" s="101"/>
      <c r="B50" s="102"/>
      <c r="C50" s="102"/>
      <c r="D50" s="102"/>
      <c r="E50" s="102"/>
      <c r="F50" s="102"/>
      <c r="G50" s="102"/>
      <c r="H50" s="102"/>
      <c r="I50" s="102"/>
      <c r="J50" s="110"/>
      <c r="K50" s="110"/>
      <c r="L50" s="110"/>
      <c r="M50" s="110"/>
      <c r="N50" s="110"/>
      <c r="O50" s="183"/>
    </row>
    <row r="51" spans="1:15">
      <c r="A51" s="117" t="s">
        <v>49</v>
      </c>
      <c r="B51" s="138">
        <v>19852.829682393469</v>
      </c>
      <c r="C51" s="138">
        <v>22241.088440832234</v>
      </c>
      <c r="D51" s="138">
        <v>21865.025163136437</v>
      </c>
      <c r="E51" s="138">
        <v>22409.682358134636</v>
      </c>
      <c r="F51" s="138">
        <v>21437.844390492002</v>
      </c>
      <c r="G51" s="138">
        <v>20851.481970989254</v>
      </c>
      <c r="H51" s="138">
        <v>21883.058941403902</v>
      </c>
      <c r="I51" s="138">
        <v>21108.206304707244</v>
      </c>
      <c r="J51" s="138">
        <v>21031.918935707781</v>
      </c>
      <c r="K51" s="138">
        <v>21944.855835129354</v>
      </c>
      <c r="L51" s="138">
        <v>20083.427054771746</v>
      </c>
      <c r="M51" s="138">
        <v>22495.434876877553</v>
      </c>
      <c r="N51" s="110">
        <v>257204.85395457561</v>
      </c>
    </row>
    <row r="52" spans="1:15">
      <c r="A52" s="247" t="s">
        <v>68</v>
      </c>
      <c r="B52" s="248"/>
      <c r="C52" s="248"/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9"/>
    </row>
    <row r="53" spans="1:15">
      <c r="A53" s="253" t="s">
        <v>117</v>
      </c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55"/>
    </row>
    <row r="54" spans="1:15">
      <c r="C54" s="139"/>
      <c r="D54" s="140"/>
      <c r="E54" s="140"/>
      <c r="F54" s="140"/>
      <c r="G54" s="140"/>
      <c r="H54" s="140"/>
      <c r="I54" s="140"/>
      <c r="J54" s="140"/>
      <c r="K54" s="141"/>
    </row>
    <row r="55" spans="1:15">
      <c r="C55" s="118"/>
      <c r="D55" s="119"/>
      <c r="E55" s="119"/>
      <c r="F55" s="119"/>
      <c r="G55" s="119"/>
      <c r="H55" s="119"/>
      <c r="I55" s="119"/>
      <c r="J55" s="119"/>
      <c r="K55" s="161"/>
    </row>
  </sheetData>
  <mergeCells count="6">
    <mergeCell ref="A2:B6"/>
    <mergeCell ref="C2:H2"/>
    <mergeCell ref="I7:N7"/>
    <mergeCell ref="A8:N8"/>
    <mergeCell ref="A52:N52"/>
    <mergeCell ref="A53:N53"/>
  </mergeCells>
  <pageMargins left="0.75" right="0" top="0.25" bottom="0" header="0.3" footer="0.3"/>
  <pageSetup paperSize="9" scale="70" orientation="landscape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42A30-A3CE-447B-AB05-2AF57F7677DB}">
  <sheetPr>
    <pageSetUpPr fitToPage="1"/>
  </sheetPr>
  <dimension ref="A3:P80"/>
  <sheetViews>
    <sheetView topLeftCell="A4" zoomScale="87" zoomScaleNormal="87" workbookViewId="0">
      <pane xSplit="1" topLeftCell="B1" activePane="topRight" state="frozen"/>
      <selection pane="topRight" activeCell="P5" sqref="P5"/>
    </sheetView>
  </sheetViews>
  <sheetFormatPr defaultRowHeight="15"/>
  <cols>
    <col min="1" max="1" width="43.140625" style="100" customWidth="1"/>
    <col min="2" max="10" width="10.85546875" style="100" customWidth="1"/>
    <col min="11" max="13" width="10.85546875" style="108" customWidth="1"/>
    <col min="14" max="14" width="11.85546875" style="108" customWidth="1"/>
    <col min="15" max="15" width="11" style="100" customWidth="1"/>
    <col min="16" max="16384" width="9.140625" style="100"/>
  </cols>
  <sheetData>
    <row r="3" spans="1:16" ht="20.25">
      <c r="A3" s="225"/>
      <c r="B3" s="225"/>
      <c r="C3" s="242" t="s">
        <v>0</v>
      </c>
      <c r="D3" s="242"/>
      <c r="E3" s="242"/>
      <c r="F3" s="242"/>
      <c r="G3" s="242"/>
      <c r="H3" s="242"/>
    </row>
    <row r="4" spans="1:16">
      <c r="A4" s="225"/>
      <c r="B4" s="225"/>
    </row>
    <row r="5" spans="1:16">
      <c r="A5" s="225"/>
      <c r="B5" s="225"/>
    </row>
    <row r="6" spans="1:16">
      <c r="A6" s="225"/>
      <c r="B6" s="225"/>
    </row>
    <row r="7" spans="1:16">
      <c r="A7" s="225"/>
      <c r="B7" s="225"/>
    </row>
    <row r="8" spans="1:16" s="155" customFormat="1" ht="27" customHeight="1">
      <c r="A8" s="156" t="s">
        <v>107</v>
      </c>
      <c r="B8" s="157"/>
      <c r="C8" s="157"/>
      <c r="D8" s="157"/>
      <c r="E8" s="157"/>
      <c r="F8" s="157"/>
      <c r="G8" s="157"/>
      <c r="H8" s="157"/>
      <c r="I8" s="256" t="s">
        <v>2</v>
      </c>
      <c r="J8" s="256"/>
      <c r="K8" s="256"/>
      <c r="L8" s="256"/>
      <c r="M8" s="256"/>
      <c r="N8" s="256"/>
    </row>
    <row r="9" spans="1:16" ht="19.5" customHeight="1">
      <c r="A9" s="244" t="s">
        <v>3</v>
      </c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6"/>
    </row>
    <row r="10" spans="1:16" ht="18.75">
      <c r="A10" s="112" t="s">
        <v>51</v>
      </c>
      <c r="B10" s="113" t="s">
        <v>52</v>
      </c>
      <c r="C10" s="114" t="s">
        <v>53</v>
      </c>
      <c r="D10" s="114" t="s">
        <v>54</v>
      </c>
      <c r="E10" s="114" t="s">
        <v>55</v>
      </c>
      <c r="F10" s="114" t="s">
        <v>56</v>
      </c>
      <c r="G10" s="114" t="s">
        <v>98</v>
      </c>
      <c r="H10" s="114" t="s">
        <v>58</v>
      </c>
      <c r="I10" s="114" t="s">
        <v>59</v>
      </c>
      <c r="J10" s="114" t="s">
        <v>60</v>
      </c>
      <c r="K10" s="134" t="s">
        <v>61</v>
      </c>
      <c r="L10" s="134" t="s">
        <v>62</v>
      </c>
      <c r="M10" s="134" t="s">
        <v>63</v>
      </c>
      <c r="N10" s="134" t="s">
        <v>64</v>
      </c>
    </row>
    <row r="11" spans="1:16" ht="15.75" customHeight="1">
      <c r="A11" s="115" t="s">
        <v>17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2"/>
      <c r="L11" s="102"/>
      <c r="M11" s="102"/>
      <c r="N11" s="102"/>
    </row>
    <row r="12" spans="1:16">
      <c r="A12" s="101" t="s">
        <v>18</v>
      </c>
      <c r="B12" s="102">
        <v>1125.2049999999999</v>
      </c>
      <c r="C12" s="102">
        <v>1168.8719999999998</v>
      </c>
      <c r="D12" s="102">
        <v>784.53199999999993</v>
      </c>
      <c r="E12" s="102">
        <v>885.48</v>
      </c>
      <c r="F12" s="102">
        <v>1239.8869999999999</v>
      </c>
      <c r="G12" s="102">
        <v>1137.6909999999998</v>
      </c>
      <c r="H12" s="102">
        <v>1232.886</v>
      </c>
      <c r="I12" s="102">
        <v>1252.4939999999999</v>
      </c>
      <c r="J12" s="102">
        <v>1288.8209999999999</v>
      </c>
      <c r="K12" s="102">
        <v>1279.221</v>
      </c>
      <c r="L12" s="102">
        <v>1160.662</v>
      </c>
      <c r="M12" s="102">
        <v>1255.5669999999998</v>
      </c>
      <c r="N12" s="110">
        <v>13811.317999999999</v>
      </c>
      <c r="O12" s="108"/>
      <c r="P12" s="116"/>
    </row>
    <row r="13" spans="1:16">
      <c r="A13" s="101" t="s">
        <v>19</v>
      </c>
      <c r="B13" s="102">
        <v>796.07300000000009</v>
      </c>
      <c r="C13" s="102">
        <v>825.2829999999999</v>
      </c>
      <c r="D13" s="102">
        <v>826.09900000000005</v>
      </c>
      <c r="E13" s="102">
        <v>802.47600000000011</v>
      </c>
      <c r="F13" s="102">
        <v>723.2109999999999</v>
      </c>
      <c r="G13" s="102">
        <v>303.81600000000003</v>
      </c>
      <c r="H13" s="102">
        <v>839.39300000000003</v>
      </c>
      <c r="I13" s="102">
        <v>802.68600000000004</v>
      </c>
      <c r="J13" s="102">
        <v>881.40599999999995</v>
      </c>
      <c r="K13" s="102">
        <v>830.03699999999992</v>
      </c>
      <c r="L13" s="102">
        <v>741.61599999999999</v>
      </c>
      <c r="M13" s="102">
        <v>868.11200000000008</v>
      </c>
      <c r="N13" s="110">
        <v>9240.2079999999987</v>
      </c>
      <c r="O13" s="108"/>
      <c r="P13" s="116"/>
    </row>
    <row r="14" spans="1:16">
      <c r="A14" s="101" t="s">
        <v>20</v>
      </c>
      <c r="B14" s="102">
        <v>1326.318</v>
      </c>
      <c r="C14" s="102">
        <v>1402.066</v>
      </c>
      <c r="D14" s="102">
        <v>1310.3509999999999</v>
      </c>
      <c r="E14" s="102">
        <v>1001.548</v>
      </c>
      <c r="F14" s="102">
        <v>1113.7740000000001</v>
      </c>
      <c r="G14" s="102">
        <v>1333.635</v>
      </c>
      <c r="H14" s="102">
        <v>1412.008</v>
      </c>
      <c r="I14" s="102">
        <v>1354.604</v>
      </c>
      <c r="J14" s="102">
        <v>1366.788</v>
      </c>
      <c r="K14" s="102">
        <v>1364.9059999999999</v>
      </c>
      <c r="L14" s="102">
        <v>1250.348</v>
      </c>
      <c r="M14" s="102">
        <v>1417.85</v>
      </c>
      <c r="N14" s="110">
        <v>15654.196</v>
      </c>
      <c r="O14" s="108"/>
      <c r="P14" s="116"/>
    </row>
    <row r="15" spans="1:16">
      <c r="A15" s="101" t="s">
        <v>21</v>
      </c>
      <c r="B15" s="102">
        <v>658.63099999999997</v>
      </c>
      <c r="C15" s="102">
        <v>707.31700000000001</v>
      </c>
      <c r="D15" s="102">
        <v>673.28399999999999</v>
      </c>
      <c r="E15" s="102">
        <v>690.84399999999994</v>
      </c>
      <c r="F15" s="102">
        <v>670.08900000000006</v>
      </c>
      <c r="G15" s="102">
        <v>665.75200000000007</v>
      </c>
      <c r="H15" s="102">
        <v>689.95499999999993</v>
      </c>
      <c r="I15" s="102">
        <v>661.93599999999992</v>
      </c>
      <c r="J15" s="102">
        <v>179.70499999999998</v>
      </c>
      <c r="K15" s="102">
        <v>709.346</v>
      </c>
      <c r="L15" s="102">
        <v>651.29899999999998</v>
      </c>
      <c r="M15" s="102">
        <v>697.33300000000008</v>
      </c>
      <c r="N15" s="110">
        <v>7655.4909999999982</v>
      </c>
      <c r="O15" s="108"/>
      <c r="P15" s="116"/>
    </row>
    <row r="16" spans="1:16">
      <c r="A16" s="101" t="s">
        <v>22</v>
      </c>
      <c r="B16" s="102">
        <v>558.27800000000002</v>
      </c>
      <c r="C16" s="102">
        <v>533.29700000000003</v>
      </c>
      <c r="D16" s="102">
        <v>550.125</v>
      </c>
      <c r="E16" s="102">
        <v>303.62899999999996</v>
      </c>
      <c r="F16" s="102">
        <v>118.71800000000002</v>
      </c>
      <c r="G16" s="102">
        <v>433.81600000000003</v>
      </c>
      <c r="H16" s="102">
        <v>518.85000000000014</v>
      </c>
      <c r="I16" s="102">
        <v>542.51</v>
      </c>
      <c r="J16" s="102">
        <v>610.05700000000013</v>
      </c>
      <c r="K16" s="102">
        <v>596.86</v>
      </c>
      <c r="L16" s="102">
        <v>451.72500000000002</v>
      </c>
      <c r="M16" s="102">
        <v>600.76900000000001</v>
      </c>
      <c r="N16" s="110">
        <v>5818.6340000000009</v>
      </c>
      <c r="O16" s="108"/>
      <c r="P16" s="116"/>
    </row>
    <row r="17" spans="1:16">
      <c r="A17" s="101" t="s">
        <v>24</v>
      </c>
      <c r="B17" s="102">
        <v>53.134999999999998</v>
      </c>
      <c r="C17" s="102">
        <v>54.472999999999999</v>
      </c>
      <c r="D17" s="102">
        <v>52.494</v>
      </c>
      <c r="E17" s="102">
        <v>59.762999999999998</v>
      </c>
      <c r="F17" s="102">
        <v>58.427</v>
      </c>
      <c r="G17" s="102">
        <v>55.976999999999997</v>
      </c>
      <c r="H17" s="102">
        <v>56.433999999999997</v>
      </c>
      <c r="I17" s="102">
        <v>55.396999999999998</v>
      </c>
      <c r="J17" s="102">
        <v>51.12</v>
      </c>
      <c r="K17" s="102">
        <v>57.688000000000002</v>
      </c>
      <c r="L17" s="102">
        <v>48.142000000000003</v>
      </c>
      <c r="M17" s="102">
        <v>62.573</v>
      </c>
      <c r="N17" s="110">
        <v>665.62300000000005</v>
      </c>
      <c r="O17" s="108"/>
      <c r="P17" s="116"/>
    </row>
    <row r="18" spans="1:16">
      <c r="A18" s="101" t="s">
        <v>23</v>
      </c>
      <c r="B18" s="102">
        <v>87.591000000000008</v>
      </c>
      <c r="C18" s="102">
        <v>86.461999999999989</v>
      </c>
      <c r="D18" s="102">
        <v>64.177999999999997</v>
      </c>
      <c r="E18" s="102">
        <v>86.174999999999997</v>
      </c>
      <c r="F18" s="102">
        <v>86.622</v>
      </c>
      <c r="G18" s="102">
        <v>84.662999999999997</v>
      </c>
      <c r="H18" s="102">
        <v>95.296999999999997</v>
      </c>
      <c r="I18" s="102">
        <v>90.092999999999989</v>
      </c>
      <c r="J18" s="102">
        <v>92.350000000000009</v>
      </c>
      <c r="K18" s="102">
        <v>85.876000000000005</v>
      </c>
      <c r="L18" s="102">
        <v>74.909000000000006</v>
      </c>
      <c r="M18" s="102">
        <v>89.472999999999999</v>
      </c>
      <c r="N18" s="110">
        <v>1023.689</v>
      </c>
      <c r="O18" s="108"/>
      <c r="P18" s="116"/>
    </row>
    <row r="19" spans="1:16">
      <c r="A19" s="101" t="s">
        <v>25</v>
      </c>
      <c r="B19" s="102">
        <v>200.59499999999997</v>
      </c>
      <c r="C19" s="102">
        <v>174.30499999999998</v>
      </c>
      <c r="D19" s="102">
        <v>201.56899999999999</v>
      </c>
      <c r="E19" s="102">
        <v>233.85499999999999</v>
      </c>
      <c r="F19" s="102">
        <v>173.977</v>
      </c>
      <c r="G19" s="102">
        <v>193.221</v>
      </c>
      <c r="H19" s="102">
        <v>198.50499999999997</v>
      </c>
      <c r="I19" s="102">
        <v>138.09600000000003</v>
      </c>
      <c r="J19" s="102">
        <v>253.999</v>
      </c>
      <c r="K19" s="102">
        <v>204.62799999999999</v>
      </c>
      <c r="L19" s="102">
        <v>210.27500000000001</v>
      </c>
      <c r="M19" s="102">
        <v>218.56100000000001</v>
      </c>
      <c r="N19" s="110">
        <v>2401.5859999999998</v>
      </c>
      <c r="O19" s="108"/>
      <c r="P19" s="116"/>
    </row>
    <row r="20" spans="1:16">
      <c r="A20" s="101" t="s">
        <v>99</v>
      </c>
      <c r="B20" s="102">
        <v>726.48500000000013</v>
      </c>
      <c r="C20" s="102">
        <v>1307.0139999999999</v>
      </c>
      <c r="D20" s="102">
        <v>1266.806</v>
      </c>
      <c r="E20" s="102">
        <v>1314.05</v>
      </c>
      <c r="F20" s="102">
        <v>1108.364</v>
      </c>
      <c r="G20" s="102">
        <v>1216.7170000000001</v>
      </c>
      <c r="H20" s="102">
        <v>1071.9619999999998</v>
      </c>
      <c r="I20" s="102">
        <v>1232.9489999999998</v>
      </c>
      <c r="J20" s="102">
        <v>1261.6479999999999</v>
      </c>
      <c r="K20" s="102">
        <v>1080.356</v>
      </c>
      <c r="L20" s="102">
        <v>757.51300000000003</v>
      </c>
      <c r="M20" s="102">
        <v>386.57299999999998</v>
      </c>
      <c r="N20" s="110">
        <v>12730.437000000002</v>
      </c>
      <c r="O20" s="108"/>
      <c r="P20" s="116"/>
    </row>
    <row r="21" spans="1:16">
      <c r="A21" s="115" t="s">
        <v>27</v>
      </c>
      <c r="B21" s="110">
        <v>5532.3110000000015</v>
      </c>
      <c r="C21" s="110">
        <v>6259.088999999999</v>
      </c>
      <c r="D21" s="110">
        <v>5729.4380000000001</v>
      </c>
      <c r="E21" s="110">
        <v>5377.82</v>
      </c>
      <c r="F21" s="110">
        <v>5293.0689999999995</v>
      </c>
      <c r="G21" s="110">
        <v>5425.2880000000005</v>
      </c>
      <c r="H21" s="110">
        <v>6115.29</v>
      </c>
      <c r="I21" s="110">
        <v>6130.7649999999994</v>
      </c>
      <c r="J21" s="110">
        <v>5985.8940000000002</v>
      </c>
      <c r="K21" s="110">
        <v>6208.9179999999997</v>
      </c>
      <c r="L21" s="110">
        <v>5346.4889999999996</v>
      </c>
      <c r="M21" s="110">
        <v>5596.8110000000006</v>
      </c>
      <c r="N21" s="110">
        <v>69001.182000000001</v>
      </c>
      <c r="O21" s="108"/>
      <c r="P21" s="116"/>
    </row>
    <row r="22" spans="1:16">
      <c r="A22" s="101"/>
      <c r="B22" s="102"/>
      <c r="C22" s="102"/>
      <c r="D22" s="102"/>
      <c r="E22" s="102"/>
      <c r="F22" s="102"/>
      <c r="G22" s="102"/>
      <c r="H22" s="102"/>
      <c r="I22" s="102"/>
      <c r="J22" s="110"/>
      <c r="K22" s="110"/>
      <c r="L22" s="110"/>
      <c r="M22" s="110"/>
      <c r="N22" s="110"/>
      <c r="O22" s="108"/>
      <c r="P22" s="116"/>
    </row>
    <row r="23" spans="1:16">
      <c r="A23" s="115" t="s">
        <v>100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10"/>
      <c r="O23" s="108"/>
      <c r="P23" s="116"/>
    </row>
    <row r="24" spans="1:16">
      <c r="A24" s="101" t="s">
        <v>29</v>
      </c>
      <c r="B24" s="102">
        <v>706.83380099999988</v>
      </c>
      <c r="C24" s="102">
        <v>719.81118199999992</v>
      </c>
      <c r="D24" s="102">
        <v>705.230773</v>
      </c>
      <c r="E24" s="102">
        <v>738.21291900000006</v>
      </c>
      <c r="F24" s="102">
        <v>742.63591600000007</v>
      </c>
      <c r="G24" s="102">
        <v>649.99222399999996</v>
      </c>
      <c r="H24" s="102">
        <v>731.32210499999997</v>
      </c>
      <c r="I24" s="102">
        <v>715.44552900000008</v>
      </c>
      <c r="J24" s="102">
        <v>759.12420899999995</v>
      </c>
      <c r="K24" s="102">
        <v>746.6113630000001</v>
      </c>
      <c r="L24" s="102">
        <v>685.74636299999997</v>
      </c>
      <c r="M24" s="102">
        <v>740.20400200000006</v>
      </c>
      <c r="N24" s="110">
        <v>8641.1703859999998</v>
      </c>
      <c r="O24" s="108"/>
      <c r="P24" s="116"/>
    </row>
    <row r="25" spans="1:16">
      <c r="A25" s="101" t="s">
        <v>30</v>
      </c>
      <c r="B25" s="102">
        <v>755.987888</v>
      </c>
      <c r="C25" s="102">
        <v>833.89245799999992</v>
      </c>
      <c r="D25" s="102">
        <v>771.60992399999998</v>
      </c>
      <c r="E25" s="102">
        <v>853.30746099999999</v>
      </c>
      <c r="F25" s="102">
        <v>829.46067300000004</v>
      </c>
      <c r="G25" s="102">
        <v>821.418001</v>
      </c>
      <c r="H25" s="102">
        <v>859.57428099999993</v>
      </c>
      <c r="I25" s="102">
        <v>643.34081399999991</v>
      </c>
      <c r="J25" s="102">
        <v>809.01800700000001</v>
      </c>
      <c r="K25" s="102">
        <v>824.59676799999988</v>
      </c>
      <c r="L25" s="102">
        <v>782.40938700000015</v>
      </c>
      <c r="M25" s="102">
        <v>850.39498600000002</v>
      </c>
      <c r="N25" s="110">
        <v>9635.0106479999995</v>
      </c>
      <c r="O25" s="108"/>
      <c r="P25" s="116"/>
    </row>
    <row r="26" spans="1:16">
      <c r="A26" s="101" t="s">
        <v>72</v>
      </c>
      <c r="B26" s="102">
        <v>821.63900000000001</v>
      </c>
      <c r="C26" s="102">
        <v>0</v>
      </c>
      <c r="D26" s="102">
        <v>0</v>
      </c>
      <c r="E26" s="102">
        <v>151.18899999999999</v>
      </c>
      <c r="F26" s="102">
        <v>887.03899999999999</v>
      </c>
      <c r="G26" s="102">
        <v>1000.066</v>
      </c>
      <c r="H26" s="102">
        <v>1026.03</v>
      </c>
      <c r="I26" s="110">
        <v>1017.575</v>
      </c>
      <c r="J26" s="102">
        <v>1001.093</v>
      </c>
      <c r="K26" s="102">
        <v>1015.1660000000001</v>
      </c>
      <c r="L26" s="102">
        <v>945.51400000000001</v>
      </c>
      <c r="M26" s="102">
        <v>964.88400000000001</v>
      </c>
      <c r="N26" s="110">
        <v>8830.1949999999997</v>
      </c>
      <c r="O26" s="108"/>
      <c r="P26" s="116"/>
    </row>
    <row r="27" spans="1:16">
      <c r="A27" s="115" t="s">
        <v>31</v>
      </c>
      <c r="B27" s="110">
        <v>2284.460689</v>
      </c>
      <c r="C27" s="110">
        <v>1553.7036399999997</v>
      </c>
      <c r="D27" s="110">
        <v>1476.8406970000001</v>
      </c>
      <c r="E27" s="110">
        <v>1742.70938</v>
      </c>
      <c r="F27" s="110">
        <v>2459.1355890000004</v>
      </c>
      <c r="G27" s="110">
        <v>2471.4762250000003</v>
      </c>
      <c r="H27" s="110">
        <v>2616.9263860000001</v>
      </c>
      <c r="I27" s="110">
        <v>2376.361343</v>
      </c>
      <c r="J27" s="110">
        <v>2569.235216</v>
      </c>
      <c r="K27" s="110">
        <v>2586.374131</v>
      </c>
      <c r="L27" s="110">
        <v>2413.66975</v>
      </c>
      <c r="M27" s="110">
        <v>2555.4829880000002</v>
      </c>
      <c r="N27" s="110">
        <v>27106.376034000004</v>
      </c>
      <c r="O27" s="108"/>
      <c r="P27" s="116"/>
    </row>
    <row r="28" spans="1:16">
      <c r="A28" s="101"/>
      <c r="B28" s="102"/>
      <c r="C28" s="102"/>
      <c r="D28" s="102"/>
      <c r="E28" s="102"/>
      <c r="F28" s="102"/>
      <c r="G28" s="102"/>
      <c r="H28" s="102"/>
      <c r="I28" s="102"/>
      <c r="J28" s="110"/>
      <c r="K28" s="110"/>
      <c r="L28" s="110"/>
      <c r="M28" s="110"/>
      <c r="N28" s="110"/>
      <c r="O28" s="108"/>
      <c r="P28" s="116"/>
    </row>
    <row r="29" spans="1:16">
      <c r="A29" s="115" t="s">
        <v>101</v>
      </c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10"/>
      <c r="O29" s="108"/>
      <c r="P29" s="116"/>
    </row>
    <row r="30" spans="1:16">
      <c r="A30" s="101" t="s">
        <v>33</v>
      </c>
      <c r="B30" s="102">
        <v>956.47830984431437</v>
      </c>
      <c r="C30" s="102">
        <v>1017.867423</v>
      </c>
      <c r="D30" s="102">
        <v>1110.3992130000001</v>
      </c>
      <c r="E30" s="102">
        <v>1210.0529117054346</v>
      </c>
      <c r="F30" s="102">
        <v>1231.3646979099999</v>
      </c>
      <c r="G30" s="102">
        <v>1163.6435009197007</v>
      </c>
      <c r="H30" s="102">
        <v>995.89812833479937</v>
      </c>
      <c r="I30" s="102">
        <v>1274.2641409999999</v>
      </c>
      <c r="J30" s="102">
        <v>1316.9175580000001</v>
      </c>
      <c r="K30" s="102">
        <v>1312.68912</v>
      </c>
      <c r="L30" s="102">
        <v>1196.5151338428132</v>
      </c>
      <c r="M30" s="102">
        <v>1267.9659821571868</v>
      </c>
      <c r="N30" s="110">
        <v>14054.056119714249</v>
      </c>
      <c r="O30" s="108"/>
      <c r="P30" s="116"/>
    </row>
    <row r="31" spans="1:16">
      <c r="A31" s="101" t="s">
        <v>65</v>
      </c>
      <c r="B31" s="102">
        <v>1014.4122037</v>
      </c>
      <c r="C31" s="102">
        <v>1105.9382430000001</v>
      </c>
      <c r="D31" s="102">
        <v>1132.9536683000001</v>
      </c>
      <c r="E31" s="102">
        <v>1189.854552</v>
      </c>
      <c r="F31" s="102">
        <v>897.0429424770773</v>
      </c>
      <c r="G31" s="102">
        <v>1195.6067148</v>
      </c>
      <c r="H31" s="102">
        <v>1200.0554266000006</v>
      </c>
      <c r="I31" s="102">
        <v>1217.3649618999998</v>
      </c>
      <c r="J31" s="102">
        <v>1210.9878697110607</v>
      </c>
      <c r="K31" s="102">
        <v>1365.0944902889387</v>
      </c>
      <c r="L31" s="102">
        <v>1169.0636597161076</v>
      </c>
      <c r="M31" s="102">
        <v>1396.222996</v>
      </c>
      <c r="N31" s="110">
        <v>14094.597728493189</v>
      </c>
      <c r="O31" s="108"/>
      <c r="P31" s="116"/>
    </row>
    <row r="32" spans="1:16">
      <c r="A32" s="101" t="s">
        <v>66</v>
      </c>
      <c r="B32" s="102">
        <v>230.89746400000004</v>
      </c>
      <c r="C32" s="102">
        <v>239.57671399999998</v>
      </c>
      <c r="D32" s="102">
        <v>234.03680121199997</v>
      </c>
      <c r="E32" s="102">
        <v>238.99357999999998</v>
      </c>
      <c r="F32" s="102">
        <v>233.25261700000001</v>
      </c>
      <c r="G32" s="102">
        <v>232.881204</v>
      </c>
      <c r="H32" s="102">
        <v>241.372468</v>
      </c>
      <c r="I32" s="102">
        <v>242.57410099999996</v>
      </c>
      <c r="J32" s="102">
        <v>241.54900400000002</v>
      </c>
      <c r="K32" s="102">
        <v>250.70311999999998</v>
      </c>
      <c r="L32" s="102">
        <v>206.25207602505628</v>
      </c>
      <c r="M32" s="102">
        <v>217.33707100000001</v>
      </c>
      <c r="N32" s="110">
        <v>2809.4262202370564</v>
      </c>
      <c r="O32" s="108"/>
      <c r="P32" s="116"/>
    </row>
    <row r="33" spans="1:16">
      <c r="A33" s="101" t="s">
        <v>67</v>
      </c>
      <c r="B33" s="102">
        <v>550.80273999999997</v>
      </c>
      <c r="C33" s="102">
        <v>635.48851000000002</v>
      </c>
      <c r="D33" s="102">
        <v>586.90565000000004</v>
      </c>
      <c r="E33" s="102">
        <v>611.27926000000002</v>
      </c>
      <c r="F33" s="102">
        <v>620.35324000000003</v>
      </c>
      <c r="G33" s="102">
        <v>620.73088500000006</v>
      </c>
      <c r="H33" s="102">
        <v>585.25664000000006</v>
      </c>
      <c r="I33" s="102">
        <v>203.04975999999999</v>
      </c>
      <c r="J33" s="102">
        <v>623.95201999999995</v>
      </c>
      <c r="K33" s="102">
        <v>600.19706799999994</v>
      </c>
      <c r="L33" s="102">
        <v>500.72689000000003</v>
      </c>
      <c r="M33" s="102">
        <v>569.16103700000008</v>
      </c>
      <c r="N33" s="110">
        <v>6707.9036999999989</v>
      </c>
      <c r="O33" s="108"/>
      <c r="P33" s="116"/>
    </row>
    <row r="34" spans="1:16">
      <c r="A34" s="115" t="s">
        <v>35</v>
      </c>
      <c r="B34" s="110">
        <v>2752.5907175443144</v>
      </c>
      <c r="C34" s="110">
        <v>2998.8708900000001</v>
      </c>
      <c r="D34" s="110">
        <v>3064.2953325120002</v>
      </c>
      <c r="E34" s="110">
        <v>3250.1803037054342</v>
      </c>
      <c r="F34" s="110">
        <v>2982.0134973870772</v>
      </c>
      <c r="G34" s="110">
        <v>3212.8623047197002</v>
      </c>
      <c r="H34" s="110">
        <v>3022.5826629348003</v>
      </c>
      <c r="I34" s="110">
        <v>2937.2529638999995</v>
      </c>
      <c r="J34" s="110">
        <v>3393.406451711061</v>
      </c>
      <c r="K34" s="110">
        <v>3528.6837982889388</v>
      </c>
      <c r="L34" s="110">
        <v>3072.5577595839768</v>
      </c>
      <c r="M34" s="110">
        <v>3450.687086157187</v>
      </c>
      <c r="N34" s="110">
        <v>37665.983768444486</v>
      </c>
      <c r="O34" s="108"/>
      <c r="P34" s="116"/>
    </row>
    <row r="35" spans="1:16">
      <c r="A35" s="101"/>
      <c r="B35" s="102"/>
      <c r="C35" s="102"/>
      <c r="D35" s="102"/>
      <c r="E35" s="102"/>
      <c r="F35" s="102"/>
      <c r="G35" s="102"/>
      <c r="H35" s="102"/>
      <c r="I35" s="102"/>
      <c r="J35" s="110"/>
      <c r="K35" s="110"/>
      <c r="L35" s="110"/>
      <c r="M35" s="110"/>
      <c r="N35" s="110"/>
      <c r="O35" s="108"/>
      <c r="P35" s="116"/>
    </row>
    <row r="36" spans="1:16">
      <c r="A36" s="115" t="s">
        <v>102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08"/>
      <c r="P36" s="116"/>
    </row>
    <row r="37" spans="1:16">
      <c r="A37" s="101" t="s">
        <v>37</v>
      </c>
      <c r="B37" s="135">
        <v>684.76777282641092</v>
      </c>
      <c r="C37" s="136">
        <v>862.54722400000014</v>
      </c>
      <c r="D37" s="135">
        <v>915.27702299999999</v>
      </c>
      <c r="E37" s="135">
        <v>931.91082000000006</v>
      </c>
      <c r="F37" s="135">
        <v>910.570424</v>
      </c>
      <c r="G37" s="135">
        <v>691.12312129999998</v>
      </c>
      <c r="H37" s="135">
        <v>921.07175414999995</v>
      </c>
      <c r="I37" s="135">
        <v>800.32796495000025</v>
      </c>
      <c r="J37" s="135">
        <v>895.36168210000005</v>
      </c>
      <c r="K37" s="135">
        <v>917.27207149999992</v>
      </c>
      <c r="L37" s="135">
        <v>825.69083697894894</v>
      </c>
      <c r="M37" s="135">
        <v>932.91047600000002</v>
      </c>
      <c r="N37" s="110">
        <v>10288.831170805359</v>
      </c>
      <c r="O37" s="108"/>
      <c r="P37" s="116"/>
    </row>
    <row r="38" spans="1:16">
      <c r="A38" s="101" t="s">
        <v>38</v>
      </c>
      <c r="B38" s="135">
        <v>36.143999999999998</v>
      </c>
      <c r="C38" s="135">
        <v>41.587999999999994</v>
      </c>
      <c r="D38" s="135">
        <v>48.606999999999999</v>
      </c>
      <c r="E38" s="135">
        <v>42.220999999999997</v>
      </c>
      <c r="F38" s="135">
        <v>34.184999999999995</v>
      </c>
      <c r="G38" s="135">
        <v>33.384</v>
      </c>
      <c r="H38" s="135">
        <v>43.14</v>
      </c>
      <c r="I38" s="135">
        <v>33.849000000000004</v>
      </c>
      <c r="J38" s="135">
        <v>50.070999999999998</v>
      </c>
      <c r="K38" s="135">
        <v>52.949999999999996</v>
      </c>
      <c r="L38" s="135">
        <v>34.975000000000001</v>
      </c>
      <c r="M38" s="135">
        <v>49.063000000000002</v>
      </c>
      <c r="N38" s="110">
        <v>500.17699999999996</v>
      </c>
      <c r="O38" s="108"/>
      <c r="P38" s="116"/>
    </row>
    <row r="39" spans="1:16">
      <c r="A39" s="115" t="s">
        <v>39</v>
      </c>
      <c r="B39" s="110">
        <v>720.91177282641092</v>
      </c>
      <c r="C39" s="110">
        <v>904.13522400000011</v>
      </c>
      <c r="D39" s="110">
        <v>963.88402299999996</v>
      </c>
      <c r="E39" s="110">
        <v>974.13182000000006</v>
      </c>
      <c r="F39" s="110">
        <v>944.75542399999995</v>
      </c>
      <c r="G39" s="110">
        <v>724.50712129999999</v>
      </c>
      <c r="H39" s="110">
        <v>964.21175414999993</v>
      </c>
      <c r="I39" s="110">
        <v>834.1769649500003</v>
      </c>
      <c r="J39" s="110">
        <v>945.43268210000008</v>
      </c>
      <c r="K39" s="110">
        <v>970.22207149999997</v>
      </c>
      <c r="L39" s="110">
        <v>860.66583697894896</v>
      </c>
      <c r="M39" s="110">
        <v>981.97347600000001</v>
      </c>
      <c r="N39" s="110">
        <v>10789.00817080536</v>
      </c>
      <c r="O39" s="108"/>
      <c r="P39" s="116"/>
    </row>
    <row r="40" spans="1:16">
      <c r="A40" s="101"/>
      <c r="B40" s="102"/>
      <c r="C40" s="102"/>
      <c r="D40" s="102"/>
      <c r="E40" s="102"/>
      <c r="F40" s="102"/>
      <c r="G40" s="102"/>
      <c r="H40" s="102"/>
      <c r="I40" s="102"/>
      <c r="J40" s="110"/>
      <c r="K40" s="110"/>
      <c r="L40" s="110"/>
      <c r="M40" s="110"/>
      <c r="N40" s="110"/>
      <c r="O40" s="108"/>
      <c r="P40" s="116"/>
    </row>
    <row r="41" spans="1:16">
      <c r="A41" s="115" t="s">
        <v>103</v>
      </c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08"/>
      <c r="P41" s="116"/>
    </row>
    <row r="42" spans="1:16">
      <c r="A42" s="101" t="s">
        <v>41</v>
      </c>
      <c r="B42" s="102">
        <v>5.8641949999999996</v>
      </c>
      <c r="C42" s="102">
        <v>7.2100429999999998</v>
      </c>
      <c r="D42" s="102">
        <v>7.58467</v>
      </c>
      <c r="E42" s="102">
        <v>5.5476749999999999</v>
      </c>
      <c r="F42" s="102">
        <v>4.9292590000000001</v>
      </c>
      <c r="G42" s="102">
        <v>7.440849</v>
      </c>
      <c r="H42" s="102">
        <v>7.1344319999999994</v>
      </c>
      <c r="I42" s="102">
        <v>7.1428919999999998</v>
      </c>
      <c r="J42" s="102">
        <v>7.2697899000000001</v>
      </c>
      <c r="K42" s="102">
        <v>6.7399579999999997</v>
      </c>
      <c r="L42" s="102">
        <v>6.2195780000000003</v>
      </c>
      <c r="M42" s="102">
        <v>6.4983140000000006</v>
      </c>
      <c r="N42" s="110">
        <v>79.58165489999999</v>
      </c>
      <c r="O42" s="108"/>
      <c r="P42" s="116"/>
    </row>
    <row r="43" spans="1:16">
      <c r="A43" s="101" t="s">
        <v>42</v>
      </c>
      <c r="B43" s="137">
        <v>1242.7450000000001</v>
      </c>
      <c r="C43" s="137">
        <v>1365.1640000000002</v>
      </c>
      <c r="D43" s="137">
        <v>1419.2430038</v>
      </c>
      <c r="E43" s="137">
        <v>1403.8760000000002</v>
      </c>
      <c r="F43" s="137">
        <v>1017.265</v>
      </c>
      <c r="G43" s="137">
        <v>1069.9090000000001</v>
      </c>
      <c r="H43" s="137">
        <v>1503.6719999999998</v>
      </c>
      <c r="I43" s="137">
        <v>1412.4279999999999</v>
      </c>
      <c r="J43" s="137">
        <v>1517.4349999999997</v>
      </c>
      <c r="K43" s="137">
        <v>1475.3550000000002</v>
      </c>
      <c r="L43" s="137">
        <v>1233.2240000000002</v>
      </c>
      <c r="M43" s="137">
        <v>1469.4490261999999</v>
      </c>
      <c r="N43" s="110">
        <v>16129.76503</v>
      </c>
      <c r="O43" s="108"/>
      <c r="P43" s="116"/>
    </row>
    <row r="44" spans="1:16">
      <c r="A44" s="115" t="s">
        <v>43</v>
      </c>
      <c r="B44" s="110">
        <v>1248.6091950000002</v>
      </c>
      <c r="C44" s="110">
        <v>1372.3740430000003</v>
      </c>
      <c r="D44" s="110">
        <v>1426.8276738</v>
      </c>
      <c r="E44" s="110">
        <v>1409.4236750000002</v>
      </c>
      <c r="F44" s="110">
        <v>1022.194259</v>
      </c>
      <c r="G44" s="110">
        <v>1077.3498490000002</v>
      </c>
      <c r="H44" s="110">
        <v>1510.8064319999999</v>
      </c>
      <c r="I44" s="110">
        <v>1419.570892</v>
      </c>
      <c r="J44" s="110">
        <v>1524.7047898999997</v>
      </c>
      <c r="K44" s="110">
        <v>1482.0949580000001</v>
      </c>
      <c r="L44" s="110">
        <v>1239.4435780000001</v>
      </c>
      <c r="M44" s="110">
        <v>1475.9473401999999</v>
      </c>
      <c r="N44" s="110">
        <v>16209.3466849</v>
      </c>
      <c r="O44" s="108"/>
      <c r="P44" s="116"/>
    </row>
    <row r="45" spans="1:16">
      <c r="A45" s="101"/>
      <c r="B45" s="102"/>
      <c r="C45" s="102"/>
      <c r="D45" s="102"/>
      <c r="E45" s="102"/>
      <c r="F45" s="102"/>
      <c r="G45" s="102"/>
      <c r="H45" s="102"/>
      <c r="I45" s="102"/>
      <c r="J45" s="110"/>
      <c r="K45" s="110"/>
      <c r="L45" s="110"/>
      <c r="M45" s="110"/>
      <c r="N45" s="110"/>
      <c r="O45" s="108"/>
      <c r="P45" s="116"/>
    </row>
    <row r="46" spans="1:16">
      <c r="A46" s="115" t="s">
        <v>44</v>
      </c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08"/>
      <c r="P46" s="116"/>
    </row>
    <row r="47" spans="1:16">
      <c r="A47" s="101" t="s">
        <v>45</v>
      </c>
      <c r="B47" s="102">
        <v>2665.3056799999995</v>
      </c>
      <c r="C47" s="102">
        <v>2741.8248810000005</v>
      </c>
      <c r="D47" s="102">
        <v>2622.9150140000006</v>
      </c>
      <c r="E47" s="102">
        <v>2790.366809000001</v>
      </c>
      <c r="F47" s="102">
        <v>2806.0720599999995</v>
      </c>
      <c r="G47" s="102">
        <v>2796.9507589999994</v>
      </c>
      <c r="H47" s="102">
        <v>2891.6540839999998</v>
      </c>
      <c r="I47" s="102">
        <v>2745.4957189999996</v>
      </c>
      <c r="J47" s="102">
        <v>2661.3582240000005</v>
      </c>
      <c r="K47" s="102">
        <v>2929.0729639999995</v>
      </c>
      <c r="L47" s="102">
        <v>2653.9165400000002</v>
      </c>
      <c r="M47" s="102">
        <v>2847.8171630000006</v>
      </c>
      <c r="N47" s="110">
        <v>33152.749897000002</v>
      </c>
      <c r="O47" s="108"/>
      <c r="P47" s="116"/>
    </row>
    <row r="48" spans="1:16">
      <c r="A48" s="101" t="s">
        <v>46</v>
      </c>
      <c r="B48" s="102">
        <v>3134.8389999999999</v>
      </c>
      <c r="C48" s="102">
        <v>3221.3159999999998</v>
      </c>
      <c r="D48" s="102">
        <v>3100.8519999999999</v>
      </c>
      <c r="E48" s="102">
        <v>3244.1590000000001</v>
      </c>
      <c r="F48" s="102">
        <v>3161.5740000000001</v>
      </c>
      <c r="G48" s="102">
        <v>3193.1179999999999</v>
      </c>
      <c r="H48" s="102">
        <v>3282.6889999999999</v>
      </c>
      <c r="I48" s="102">
        <v>3078.1640000000002</v>
      </c>
      <c r="J48" s="102">
        <v>3280.3119999999999</v>
      </c>
      <c r="K48" s="102">
        <v>3294.1590000000001</v>
      </c>
      <c r="L48" s="102">
        <v>2899.4070000000002</v>
      </c>
      <c r="M48" s="102">
        <v>2426.7060000000001</v>
      </c>
      <c r="N48" s="110">
        <v>37317.294999999998</v>
      </c>
      <c r="O48" s="108"/>
      <c r="P48" s="116"/>
    </row>
    <row r="49" spans="1:16">
      <c r="A49" s="115" t="s">
        <v>47</v>
      </c>
      <c r="B49" s="110">
        <v>5800.1446799999994</v>
      </c>
      <c r="C49" s="110">
        <v>5963.1408810000003</v>
      </c>
      <c r="D49" s="110">
        <v>5723.7670140000009</v>
      </c>
      <c r="E49" s="110">
        <v>6034.5258090000007</v>
      </c>
      <c r="F49" s="110">
        <v>5967.6460599999991</v>
      </c>
      <c r="G49" s="110">
        <v>5990.0687589999998</v>
      </c>
      <c r="H49" s="110">
        <v>6174.3430840000001</v>
      </c>
      <c r="I49" s="110">
        <v>5823.6597189999993</v>
      </c>
      <c r="J49" s="110">
        <v>5941.6702240000004</v>
      </c>
      <c r="K49" s="110">
        <v>6223.2319639999996</v>
      </c>
      <c r="L49" s="110">
        <v>5553.3235400000003</v>
      </c>
      <c r="M49" s="110">
        <v>5274.5231630000007</v>
      </c>
      <c r="N49" s="110">
        <v>70470.044897</v>
      </c>
      <c r="O49" s="108"/>
      <c r="P49" s="116"/>
    </row>
    <row r="50" spans="1:16">
      <c r="A50" s="101"/>
      <c r="B50" s="102"/>
      <c r="C50" s="102"/>
      <c r="D50" s="102"/>
      <c r="E50" s="102"/>
      <c r="F50" s="102"/>
      <c r="G50" s="102"/>
      <c r="H50" s="102"/>
      <c r="I50" s="102"/>
      <c r="J50" s="110"/>
      <c r="K50" s="110"/>
      <c r="L50" s="110"/>
      <c r="M50" s="110"/>
      <c r="N50" s="110"/>
      <c r="O50" s="108"/>
      <c r="P50" s="116"/>
    </row>
    <row r="51" spans="1:16" ht="28.5" customHeight="1">
      <c r="A51" s="159" t="s">
        <v>111</v>
      </c>
      <c r="B51" s="110">
        <v>1687.5114247979998</v>
      </c>
      <c r="C51" s="110">
        <v>1775.0535786570003</v>
      </c>
      <c r="D51" s="110">
        <v>1663.6725587819999</v>
      </c>
      <c r="E51" s="110">
        <v>1770.8052912280002</v>
      </c>
      <c r="F51" s="110">
        <v>1778.9932899840001</v>
      </c>
      <c r="G51" s="110">
        <v>1686.27301001</v>
      </c>
      <c r="H51" s="110">
        <v>1703.8282439970001</v>
      </c>
      <c r="I51" s="110">
        <v>1708.0845741789999</v>
      </c>
      <c r="J51" s="110">
        <v>1768.7890499079999</v>
      </c>
      <c r="K51" s="110">
        <v>1770.2666662989998</v>
      </c>
      <c r="L51" s="110">
        <v>1594.3081072340005</v>
      </c>
      <c r="M51" s="110">
        <v>1785.2937165519998</v>
      </c>
      <c r="N51" s="110">
        <v>20692.879511628002</v>
      </c>
      <c r="O51" s="108"/>
      <c r="P51" s="116"/>
    </row>
    <row r="52" spans="1:16">
      <c r="A52" s="101"/>
      <c r="B52" s="102"/>
      <c r="C52" s="102"/>
      <c r="D52" s="102"/>
      <c r="E52" s="102"/>
      <c r="F52" s="102"/>
      <c r="G52" s="102"/>
      <c r="H52" s="102"/>
      <c r="I52" s="102"/>
      <c r="J52" s="110"/>
      <c r="K52" s="110"/>
      <c r="L52" s="110"/>
      <c r="M52" s="110"/>
      <c r="N52" s="110"/>
      <c r="O52" s="108"/>
      <c r="P52" s="116"/>
    </row>
    <row r="53" spans="1:16">
      <c r="A53" s="117" t="s">
        <v>49</v>
      </c>
      <c r="B53" s="138">
        <v>20026.539479168725</v>
      </c>
      <c r="C53" s="138">
        <v>20826.367256656999</v>
      </c>
      <c r="D53" s="138">
        <v>20048.725299094003</v>
      </c>
      <c r="E53" s="138">
        <v>20559.596278933437</v>
      </c>
      <c r="F53" s="138">
        <v>20447.807119371078</v>
      </c>
      <c r="G53" s="138">
        <v>20587.825269029701</v>
      </c>
      <c r="H53" s="138">
        <v>22107.988563081799</v>
      </c>
      <c r="I53" s="138">
        <v>21229.871457028999</v>
      </c>
      <c r="J53" s="138">
        <v>22129.13241361906</v>
      </c>
      <c r="K53" s="138">
        <v>22769.791589087938</v>
      </c>
      <c r="L53" s="138">
        <v>20080.457571796927</v>
      </c>
      <c r="M53" s="138">
        <v>21120.718769909188</v>
      </c>
      <c r="N53" s="110">
        <v>251934.82106677786</v>
      </c>
      <c r="O53" s="108"/>
      <c r="P53" s="116"/>
    </row>
    <row r="54" spans="1:16">
      <c r="A54" s="247" t="s">
        <v>68</v>
      </c>
      <c r="B54" s="248"/>
      <c r="C54" s="248"/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9"/>
    </row>
    <row r="55" spans="1:16">
      <c r="A55" s="253" t="s">
        <v>108</v>
      </c>
      <c r="B55" s="254"/>
      <c r="C55" s="254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5"/>
    </row>
    <row r="56" spans="1:16">
      <c r="C56" s="139"/>
      <c r="D56" s="140"/>
      <c r="E56" s="140"/>
      <c r="F56" s="140"/>
      <c r="G56" s="140"/>
      <c r="H56" s="140"/>
      <c r="I56" s="140"/>
      <c r="J56" s="140"/>
      <c r="K56" s="141"/>
    </row>
    <row r="57" spans="1:16">
      <c r="B57" s="142"/>
      <c r="C57" s="143"/>
      <c r="D57" s="144"/>
      <c r="E57" s="144"/>
      <c r="F57" s="144"/>
      <c r="G57" s="144"/>
      <c r="H57" s="144"/>
      <c r="I57" s="144"/>
      <c r="J57" s="144"/>
      <c r="K57" s="144"/>
      <c r="L57" s="142"/>
      <c r="M57" s="142"/>
      <c r="N57" s="142"/>
    </row>
    <row r="58" spans="1:16"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</row>
    <row r="59" spans="1:16">
      <c r="H59" s="116"/>
    </row>
    <row r="61" spans="1:16"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</row>
    <row r="62" spans="1:16">
      <c r="B62" s="108"/>
      <c r="C62" s="108"/>
      <c r="D62" s="108"/>
      <c r="E62" s="108"/>
      <c r="F62" s="108"/>
      <c r="G62" s="108"/>
      <c r="H62" s="108"/>
      <c r="I62" s="108"/>
      <c r="J62" s="108"/>
    </row>
    <row r="63" spans="1:16">
      <c r="B63" s="108"/>
      <c r="C63" s="108"/>
      <c r="D63" s="108"/>
      <c r="E63" s="108"/>
      <c r="F63" s="108"/>
      <c r="G63" s="108"/>
      <c r="H63" s="108"/>
      <c r="I63" s="108"/>
      <c r="J63" s="108"/>
    </row>
    <row r="64" spans="1:16">
      <c r="B64" s="108"/>
      <c r="C64" s="108"/>
      <c r="D64" s="108"/>
      <c r="E64" s="108"/>
      <c r="F64" s="108"/>
      <c r="G64" s="108"/>
      <c r="H64" s="108"/>
      <c r="I64" s="108"/>
      <c r="J64" s="108"/>
    </row>
    <row r="67" spans="2:10">
      <c r="B67" s="108"/>
      <c r="C67" s="108"/>
      <c r="D67" s="108"/>
      <c r="E67" s="108"/>
      <c r="F67" s="108"/>
      <c r="G67" s="108"/>
      <c r="H67" s="108"/>
      <c r="I67" s="108"/>
      <c r="J67" s="108"/>
    </row>
    <row r="68" spans="2:10">
      <c r="B68" s="108"/>
      <c r="C68" s="108"/>
      <c r="D68" s="108"/>
      <c r="E68" s="108"/>
      <c r="F68" s="108"/>
      <c r="G68" s="108"/>
      <c r="H68" s="108"/>
      <c r="I68" s="108"/>
      <c r="J68" s="108"/>
    </row>
    <row r="69" spans="2:10">
      <c r="B69" s="108"/>
      <c r="C69" s="108"/>
      <c r="D69" s="108"/>
      <c r="E69" s="108"/>
      <c r="F69" s="108"/>
      <c r="G69" s="108"/>
      <c r="H69" s="108"/>
      <c r="I69" s="108"/>
      <c r="J69" s="108"/>
    </row>
    <row r="72" spans="2:10">
      <c r="B72" s="108"/>
      <c r="C72" s="108"/>
      <c r="D72" s="108"/>
      <c r="E72" s="108"/>
      <c r="F72" s="108"/>
      <c r="G72" s="108"/>
      <c r="H72" s="108"/>
      <c r="I72" s="108"/>
      <c r="J72" s="108"/>
    </row>
    <row r="73" spans="2:10">
      <c r="B73" s="108"/>
      <c r="C73" s="108"/>
      <c r="D73" s="108"/>
      <c r="E73" s="108"/>
      <c r="F73" s="108"/>
      <c r="G73" s="108"/>
      <c r="H73" s="108"/>
      <c r="I73" s="108"/>
      <c r="J73" s="108"/>
    </row>
    <row r="74" spans="2:10">
      <c r="B74" s="108"/>
      <c r="C74" s="108"/>
      <c r="D74" s="108"/>
      <c r="E74" s="108"/>
      <c r="F74" s="108"/>
      <c r="G74" s="108"/>
      <c r="H74" s="108"/>
      <c r="I74" s="108"/>
      <c r="J74" s="108"/>
    </row>
    <row r="75" spans="2:10">
      <c r="B75" s="108"/>
      <c r="C75" s="108"/>
      <c r="D75" s="108"/>
      <c r="E75" s="108"/>
      <c r="F75" s="108"/>
      <c r="G75" s="108"/>
      <c r="H75" s="108"/>
      <c r="I75" s="108"/>
      <c r="J75" s="108"/>
    </row>
    <row r="76" spans="2:10">
      <c r="B76" s="108"/>
      <c r="C76" s="108"/>
      <c r="D76" s="108"/>
      <c r="E76" s="108"/>
      <c r="F76" s="108"/>
      <c r="G76" s="108"/>
      <c r="H76" s="108"/>
      <c r="I76" s="108"/>
      <c r="J76" s="108"/>
    </row>
    <row r="77" spans="2:10">
      <c r="B77" s="108"/>
      <c r="C77" s="108"/>
      <c r="D77" s="108"/>
      <c r="E77" s="108"/>
      <c r="F77" s="108"/>
      <c r="G77" s="108"/>
      <c r="H77" s="108"/>
      <c r="I77" s="108"/>
      <c r="J77" s="108"/>
    </row>
    <row r="78" spans="2:10">
      <c r="B78" s="108"/>
      <c r="C78" s="108"/>
      <c r="D78" s="108"/>
      <c r="E78" s="108"/>
      <c r="F78" s="108"/>
      <c r="G78" s="108"/>
      <c r="H78" s="108"/>
      <c r="I78" s="108"/>
      <c r="J78" s="108"/>
    </row>
    <row r="79" spans="2:10">
      <c r="B79" s="108"/>
      <c r="C79" s="108"/>
      <c r="D79" s="108"/>
      <c r="E79" s="108"/>
      <c r="F79" s="108"/>
      <c r="G79" s="108"/>
      <c r="H79" s="108"/>
      <c r="I79" s="108"/>
      <c r="J79" s="108"/>
    </row>
    <row r="80" spans="2:10">
      <c r="B80" s="108"/>
      <c r="C80" s="108"/>
      <c r="D80" s="108"/>
      <c r="E80" s="108"/>
      <c r="F80" s="108"/>
      <c r="G80" s="108"/>
      <c r="H80" s="108"/>
      <c r="I80" s="108"/>
      <c r="J80" s="108"/>
    </row>
  </sheetData>
  <mergeCells count="6">
    <mergeCell ref="A3:B7"/>
    <mergeCell ref="C3:H3"/>
    <mergeCell ref="I8:N8"/>
    <mergeCell ref="A9:N9"/>
    <mergeCell ref="A54:N54"/>
    <mergeCell ref="A55:N55"/>
  </mergeCells>
  <pageMargins left="0.75" right="0" top="0.25" bottom="0" header="0.3" footer="0.3"/>
  <pageSetup paperSize="9" scale="66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8BE4-AEC4-46DF-B81C-A51F9F787F11}">
  <sheetPr>
    <pageSetUpPr fitToPage="1"/>
  </sheetPr>
  <dimension ref="A2:Q56"/>
  <sheetViews>
    <sheetView zoomScale="87" zoomScaleNormal="87" workbookViewId="0">
      <selection activeCell="A11" sqref="A11:N52"/>
    </sheetView>
  </sheetViews>
  <sheetFormatPr defaultRowHeight="15"/>
  <cols>
    <col min="1" max="1" width="40.28515625" style="100" customWidth="1"/>
    <col min="2" max="13" width="10.85546875" style="100" customWidth="1"/>
    <col min="14" max="14" width="11.85546875" style="100" customWidth="1"/>
    <col min="15" max="15" width="16.28515625" style="100" customWidth="1"/>
    <col min="16" max="16" width="9.140625" style="100"/>
    <col min="17" max="17" width="11" style="100" customWidth="1"/>
    <col min="18" max="16384" width="9.140625" style="100"/>
  </cols>
  <sheetData>
    <row r="2" spans="1:17" ht="20.25">
      <c r="A2" s="225"/>
      <c r="B2" s="225"/>
      <c r="C2" s="242" t="s">
        <v>0</v>
      </c>
      <c r="D2" s="242"/>
      <c r="E2" s="242"/>
      <c r="F2" s="242"/>
      <c r="G2" s="242"/>
      <c r="H2" s="242"/>
    </row>
    <row r="3" spans="1:17">
      <c r="A3" s="225"/>
      <c r="B3" s="225"/>
    </row>
    <row r="4" spans="1:17">
      <c r="A4" s="225"/>
      <c r="B4" s="225"/>
    </row>
    <row r="5" spans="1:17">
      <c r="A5" s="225"/>
      <c r="B5" s="225"/>
    </row>
    <row r="6" spans="1:17">
      <c r="A6" s="225"/>
      <c r="B6" s="225"/>
    </row>
    <row r="7" spans="1:17" ht="18.75">
      <c r="A7" s="105" t="s">
        <v>97</v>
      </c>
      <c r="B7" s="111"/>
      <c r="C7" s="111"/>
      <c r="D7" s="111"/>
      <c r="E7" s="111"/>
      <c r="F7" s="111"/>
      <c r="G7" s="111"/>
      <c r="H7" s="111"/>
      <c r="I7" s="243" t="s">
        <v>2</v>
      </c>
      <c r="J7" s="243"/>
      <c r="K7" s="243"/>
      <c r="L7" s="243"/>
      <c r="M7" s="243"/>
      <c r="N7" s="243"/>
    </row>
    <row r="8" spans="1:17" ht="19.5" customHeight="1">
      <c r="A8" s="244" t="s">
        <v>3</v>
      </c>
      <c r="B8" s="245"/>
      <c r="C8" s="245"/>
      <c r="D8" s="245"/>
      <c r="E8" s="245"/>
      <c r="F8" s="245"/>
      <c r="G8" s="245"/>
      <c r="H8" s="245"/>
      <c r="I8" s="245"/>
      <c r="J8" s="245"/>
      <c r="K8" s="245"/>
      <c r="L8" s="245"/>
      <c r="M8" s="245"/>
      <c r="N8" s="246"/>
    </row>
    <row r="9" spans="1:17" ht="18.75">
      <c r="A9" s="112" t="s">
        <v>51</v>
      </c>
      <c r="B9" s="113" t="s">
        <v>52</v>
      </c>
      <c r="C9" s="114" t="s">
        <v>53</v>
      </c>
      <c r="D9" s="114" t="s">
        <v>54</v>
      </c>
      <c r="E9" s="114" t="s">
        <v>55</v>
      </c>
      <c r="F9" s="114" t="s">
        <v>56</v>
      </c>
      <c r="G9" s="114" t="s">
        <v>98</v>
      </c>
      <c r="H9" s="114" t="s">
        <v>58</v>
      </c>
      <c r="I9" s="114" t="s">
        <v>59</v>
      </c>
      <c r="J9" s="114" t="s">
        <v>60</v>
      </c>
      <c r="K9" s="114" t="s">
        <v>61</v>
      </c>
      <c r="L9" s="114" t="s">
        <v>62</v>
      </c>
      <c r="M9" s="114" t="s">
        <v>63</v>
      </c>
      <c r="N9" s="114" t="s">
        <v>64</v>
      </c>
    </row>
    <row r="10" spans="1:17">
      <c r="A10" s="115" t="s">
        <v>17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</row>
    <row r="11" spans="1:17">
      <c r="A11" s="101" t="s">
        <v>18</v>
      </c>
      <c r="B11" s="102">
        <v>1214.962</v>
      </c>
      <c r="C11" s="102">
        <v>1240.3120000000001</v>
      </c>
      <c r="D11" s="102">
        <v>1233.471</v>
      </c>
      <c r="E11" s="102">
        <v>1273.444</v>
      </c>
      <c r="F11" s="102">
        <v>1228.6559999999999</v>
      </c>
      <c r="G11" s="102">
        <v>1084.316</v>
      </c>
      <c r="H11" s="102">
        <v>1134.2419999999997</v>
      </c>
      <c r="I11" s="102">
        <v>1185.0099999999998</v>
      </c>
      <c r="J11" s="102">
        <v>1129.9229999999998</v>
      </c>
      <c r="K11" s="102">
        <v>1007.133</v>
      </c>
      <c r="L11" s="102">
        <v>1028.2069999999999</v>
      </c>
      <c r="M11" s="102">
        <v>1234.7159999999999</v>
      </c>
      <c r="N11" s="102">
        <f>SUM(B11:M11)</f>
        <v>13994.392</v>
      </c>
      <c r="P11" s="116"/>
      <c r="Q11" s="116"/>
    </row>
    <row r="12" spans="1:17" s="120" customFormat="1">
      <c r="A12" s="149" t="s">
        <v>19</v>
      </c>
      <c r="B12" s="146">
        <v>797.48299999999995</v>
      </c>
      <c r="C12" s="146">
        <v>813.74599999999998</v>
      </c>
      <c r="D12" s="146">
        <v>796.80899999999997</v>
      </c>
      <c r="E12" s="146">
        <v>754.92200000000003</v>
      </c>
      <c r="F12" s="146">
        <v>701.06100000000004</v>
      </c>
      <c r="G12" s="146">
        <v>748.54100000000005</v>
      </c>
      <c r="H12" s="146">
        <v>804.47</v>
      </c>
      <c r="I12" s="146">
        <v>714.072</v>
      </c>
      <c r="J12" s="146">
        <v>761.3649999999999</v>
      </c>
      <c r="K12" s="146">
        <v>786.21500000000003</v>
      </c>
      <c r="L12" s="146">
        <v>721.46799999999996</v>
      </c>
      <c r="M12" s="146">
        <v>829.84700000000009</v>
      </c>
      <c r="N12" s="146">
        <f t="shared" ref="N12:N47" si="0">SUM(B12:M12)</f>
        <v>9229.9989999999998</v>
      </c>
      <c r="O12" s="147"/>
      <c r="P12" s="148"/>
      <c r="Q12" s="148"/>
    </row>
    <row r="13" spans="1:17" s="120" customFormat="1">
      <c r="A13" s="149" t="s">
        <v>20</v>
      </c>
      <c r="B13" s="146">
        <v>1316.0060000000001</v>
      </c>
      <c r="C13" s="146">
        <v>1386.0020000000004</v>
      </c>
      <c r="D13" s="146">
        <v>1356.6040000000003</v>
      </c>
      <c r="E13" s="146">
        <v>1400.0830000000001</v>
      </c>
      <c r="F13" s="146">
        <v>1048.4919999999997</v>
      </c>
      <c r="G13" s="146">
        <v>1233.8840000000002</v>
      </c>
      <c r="H13" s="146">
        <v>1301.799</v>
      </c>
      <c r="I13" s="146">
        <v>1294.066</v>
      </c>
      <c r="J13" s="146">
        <v>1328.77</v>
      </c>
      <c r="K13" s="146">
        <v>1330.366</v>
      </c>
      <c r="L13" s="146">
        <v>1247.567</v>
      </c>
      <c r="M13" s="146">
        <v>1394.3959999999997</v>
      </c>
      <c r="N13" s="146">
        <f t="shared" si="0"/>
        <v>15638.035000000003</v>
      </c>
      <c r="O13" s="147"/>
      <c r="P13" s="148"/>
      <c r="Q13" s="148"/>
    </row>
    <row r="14" spans="1:17" s="120" customFormat="1">
      <c r="A14" s="149" t="s">
        <v>21</v>
      </c>
      <c r="B14" s="146">
        <v>692.32899999999995</v>
      </c>
      <c r="C14" s="146">
        <v>713.19100000000003</v>
      </c>
      <c r="D14" s="146">
        <v>681.65599999999995</v>
      </c>
      <c r="E14" s="146">
        <v>659.37200000000007</v>
      </c>
      <c r="F14" s="146">
        <v>630.33100000000002</v>
      </c>
      <c r="G14" s="146">
        <v>665.08100000000002</v>
      </c>
      <c r="H14" s="146">
        <v>678.89899999999989</v>
      </c>
      <c r="I14" s="146">
        <v>544.00199999999995</v>
      </c>
      <c r="J14" s="146">
        <v>534.15599999999995</v>
      </c>
      <c r="K14" s="146">
        <v>550.09300000000007</v>
      </c>
      <c r="L14" s="146">
        <v>624.21299999999997</v>
      </c>
      <c r="M14" s="146">
        <v>715.97399999999993</v>
      </c>
      <c r="N14" s="146">
        <f t="shared" si="0"/>
        <v>7689.2970000000005</v>
      </c>
      <c r="O14" s="147"/>
      <c r="P14" s="148"/>
      <c r="Q14" s="148"/>
    </row>
    <row r="15" spans="1:17" s="120" customFormat="1">
      <c r="A15" s="149" t="s">
        <v>22</v>
      </c>
      <c r="B15" s="146">
        <v>559.26400000000001</v>
      </c>
      <c r="C15" s="146">
        <v>576.66499999999996</v>
      </c>
      <c r="D15" s="146">
        <v>547.05900000000008</v>
      </c>
      <c r="E15" s="146">
        <v>576.49599999999998</v>
      </c>
      <c r="F15" s="146">
        <v>570.971</v>
      </c>
      <c r="G15" s="146">
        <v>512.54</v>
      </c>
      <c r="H15" s="146">
        <v>481.31800000000004</v>
      </c>
      <c r="I15" s="146">
        <v>523.37600000000009</v>
      </c>
      <c r="J15" s="146">
        <v>579.35500000000002</v>
      </c>
      <c r="K15" s="146">
        <v>554.04700000000003</v>
      </c>
      <c r="L15" s="146">
        <v>487.23500000000001</v>
      </c>
      <c r="M15" s="146">
        <v>557.71899999999994</v>
      </c>
      <c r="N15" s="146">
        <f t="shared" si="0"/>
        <v>6526.0450000000001</v>
      </c>
      <c r="O15" s="147"/>
      <c r="P15" s="148"/>
      <c r="Q15" s="148"/>
    </row>
    <row r="16" spans="1:17" s="120" customFormat="1">
      <c r="A16" s="149" t="s">
        <v>23</v>
      </c>
      <c r="B16" s="146">
        <v>75.424000000000007</v>
      </c>
      <c r="C16" s="146">
        <v>72.837999999999994</v>
      </c>
      <c r="D16" s="146">
        <v>67.745999999999995</v>
      </c>
      <c r="E16" s="146">
        <v>85.65</v>
      </c>
      <c r="F16" s="146">
        <v>66.319999999999993</v>
      </c>
      <c r="G16" s="146">
        <v>68.188999999999993</v>
      </c>
      <c r="H16" s="146">
        <v>72.222999999999999</v>
      </c>
      <c r="I16" s="146">
        <v>72.168999999999997</v>
      </c>
      <c r="J16" s="146">
        <v>71.244</v>
      </c>
      <c r="K16" s="146">
        <v>65.412999999999997</v>
      </c>
      <c r="L16" s="146">
        <v>67.884</v>
      </c>
      <c r="M16" s="146">
        <v>78.481009999999998</v>
      </c>
      <c r="N16" s="146">
        <f t="shared" si="0"/>
        <v>863.58101000000011</v>
      </c>
      <c r="O16" s="147"/>
      <c r="P16" s="148"/>
      <c r="Q16" s="148"/>
    </row>
    <row r="17" spans="1:17" s="120" customFormat="1">
      <c r="A17" s="149" t="s">
        <v>24</v>
      </c>
      <c r="B17" s="146">
        <v>51.753</v>
      </c>
      <c r="C17" s="146">
        <v>45.866</v>
      </c>
      <c r="D17" s="146">
        <v>43.155000000000001</v>
      </c>
      <c r="E17" s="146">
        <v>23.701000000000001</v>
      </c>
      <c r="F17" s="146">
        <v>40.317999999999998</v>
      </c>
      <c r="G17" s="146">
        <v>46.023000000000003</v>
      </c>
      <c r="H17" s="146">
        <v>50.997999999999998</v>
      </c>
      <c r="I17" s="146">
        <v>46.561999999999998</v>
      </c>
      <c r="J17" s="146">
        <v>45.140999999999998</v>
      </c>
      <c r="K17" s="146">
        <v>44.508000000000003</v>
      </c>
      <c r="L17" s="146">
        <v>42.015999999999998</v>
      </c>
      <c r="M17" s="146">
        <v>53.405999999999999</v>
      </c>
      <c r="N17" s="146">
        <f t="shared" si="0"/>
        <v>533.447</v>
      </c>
      <c r="O17" s="147"/>
      <c r="P17" s="148"/>
      <c r="Q17" s="148"/>
    </row>
    <row r="18" spans="1:17" s="120" customFormat="1">
      <c r="A18" s="149" t="s">
        <v>25</v>
      </c>
      <c r="B18" s="146">
        <v>211.58199999999999</v>
      </c>
      <c r="C18" s="146">
        <v>214.64600000000002</v>
      </c>
      <c r="D18" s="146">
        <v>199.56899999999999</v>
      </c>
      <c r="E18" s="146">
        <v>214.85199999999998</v>
      </c>
      <c r="F18" s="146">
        <v>202.45399999999998</v>
      </c>
      <c r="G18" s="146">
        <v>192.79899999999998</v>
      </c>
      <c r="H18" s="146">
        <v>212.07099999999997</v>
      </c>
      <c r="I18" s="146">
        <v>212.76499999999993</v>
      </c>
      <c r="J18" s="146">
        <v>219.56799999999998</v>
      </c>
      <c r="K18" s="146">
        <v>206.36900000000003</v>
      </c>
      <c r="L18" s="146">
        <v>188.78800000000001</v>
      </c>
      <c r="M18" s="146">
        <v>210.32799999999997</v>
      </c>
      <c r="N18" s="146">
        <f t="shared" si="0"/>
        <v>2485.7909999999997</v>
      </c>
      <c r="O18" s="147"/>
      <c r="P18" s="148"/>
      <c r="Q18" s="148"/>
    </row>
    <row r="19" spans="1:17" s="120" customFormat="1">
      <c r="A19" s="149" t="s">
        <v>99</v>
      </c>
      <c r="B19" s="146">
        <v>394.26800000000003</v>
      </c>
      <c r="C19" s="146">
        <v>538.27</v>
      </c>
      <c r="D19" s="146">
        <v>256.93200000000002</v>
      </c>
      <c r="E19" s="146">
        <v>697.35299999999995</v>
      </c>
      <c r="F19" s="146">
        <v>464.84399999999999</v>
      </c>
      <c r="G19" s="146">
        <v>444.83600000000001</v>
      </c>
      <c r="H19" s="146">
        <v>806.82899999999995</v>
      </c>
      <c r="I19" s="146">
        <v>553.80500000000006</v>
      </c>
      <c r="J19" s="146">
        <v>1012.699</v>
      </c>
      <c r="K19" s="146">
        <v>926.1</v>
      </c>
      <c r="L19" s="146">
        <v>929.08800000000008</v>
      </c>
      <c r="M19" s="146">
        <v>1204.9069999999999</v>
      </c>
      <c r="N19" s="146">
        <f>SUM(B19:M19)</f>
        <v>8229.9309999999987</v>
      </c>
      <c r="O19" s="147"/>
      <c r="P19" s="148"/>
      <c r="Q19" s="148"/>
    </row>
    <row r="20" spans="1:17" s="120" customFormat="1">
      <c r="A20" s="145" t="s">
        <v>27</v>
      </c>
      <c r="B20" s="129">
        <v>5313.0709999999999</v>
      </c>
      <c r="C20" s="129">
        <v>5601.5360000000001</v>
      </c>
      <c r="D20" s="129">
        <v>5183.0010000000002</v>
      </c>
      <c r="E20" s="129">
        <v>5685.8729999999996</v>
      </c>
      <c r="F20" s="129">
        <v>4953.4470000000001</v>
      </c>
      <c r="G20" s="129">
        <v>4996.2090000000007</v>
      </c>
      <c r="H20" s="129">
        <v>5542.8489999999983</v>
      </c>
      <c r="I20" s="129">
        <v>5145.8270000000002</v>
      </c>
      <c r="J20" s="129">
        <v>5682.2209999999986</v>
      </c>
      <c r="K20" s="129">
        <v>5470.2439999999988</v>
      </c>
      <c r="L20" s="129">
        <v>5336.4659999999985</v>
      </c>
      <c r="M20" s="129">
        <v>6279.7740100000001</v>
      </c>
      <c r="N20" s="129">
        <v>65190.51801</v>
      </c>
      <c r="O20" s="147"/>
      <c r="P20" s="148"/>
      <c r="Q20" s="148"/>
    </row>
    <row r="21" spans="1:17" s="120" customFormat="1">
      <c r="A21" s="149"/>
      <c r="B21" s="146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7"/>
      <c r="P21" s="148"/>
      <c r="Q21" s="148"/>
    </row>
    <row r="22" spans="1:17" s="120" customFormat="1">
      <c r="A22" s="145" t="s">
        <v>100</v>
      </c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7"/>
      <c r="P22" s="148"/>
      <c r="Q22" s="148"/>
    </row>
    <row r="23" spans="1:17" s="120" customFormat="1">
      <c r="A23" s="149" t="s">
        <v>29</v>
      </c>
      <c r="B23" s="146">
        <v>713.90662900000007</v>
      </c>
      <c r="C23" s="146">
        <v>723.54782300000011</v>
      </c>
      <c r="D23" s="146">
        <v>624.95720099999994</v>
      </c>
      <c r="E23" s="146">
        <v>689.34517200000005</v>
      </c>
      <c r="F23" s="146">
        <v>736.63368600000001</v>
      </c>
      <c r="G23" s="146">
        <v>630.680159</v>
      </c>
      <c r="H23" s="146">
        <v>720.12413300000003</v>
      </c>
      <c r="I23" s="146">
        <v>715.36976699999991</v>
      </c>
      <c r="J23" s="146">
        <v>758.22340200000008</v>
      </c>
      <c r="K23" s="146">
        <v>753.53105600000004</v>
      </c>
      <c r="L23" s="146">
        <v>683.97415100000001</v>
      </c>
      <c r="M23" s="146">
        <v>760.02572000000009</v>
      </c>
      <c r="N23" s="146">
        <f t="shared" si="0"/>
        <v>8510.3188990000017</v>
      </c>
      <c r="O23" s="147"/>
      <c r="P23" s="148"/>
      <c r="Q23" s="148"/>
    </row>
    <row r="24" spans="1:17" s="120" customFormat="1">
      <c r="A24" s="149" t="s">
        <v>30</v>
      </c>
      <c r="B24" s="146">
        <v>801.10356500000012</v>
      </c>
      <c r="C24" s="146">
        <v>809.88435700000002</v>
      </c>
      <c r="D24" s="146">
        <v>802.78586799999994</v>
      </c>
      <c r="E24" s="146">
        <v>732.85419500000012</v>
      </c>
      <c r="F24" s="146">
        <v>505.993471</v>
      </c>
      <c r="G24" s="146">
        <v>744.98375399999998</v>
      </c>
      <c r="H24" s="146">
        <v>787.22819900000002</v>
      </c>
      <c r="I24" s="146">
        <v>821.99342100000001</v>
      </c>
      <c r="J24" s="146">
        <v>858.95366400000012</v>
      </c>
      <c r="K24" s="146">
        <v>815.01356599999986</v>
      </c>
      <c r="L24" s="146">
        <v>770.34090900000001</v>
      </c>
      <c r="M24" s="146">
        <v>852.73758899999996</v>
      </c>
      <c r="N24" s="146">
        <f t="shared" si="0"/>
        <v>9303.8725580000009</v>
      </c>
      <c r="O24" s="147"/>
      <c r="P24" s="148"/>
      <c r="Q24" s="148"/>
    </row>
    <row r="25" spans="1:17" s="120" customFormat="1">
      <c r="A25" s="149" t="s">
        <v>72</v>
      </c>
      <c r="B25" s="146">
        <v>920.18899999999996</v>
      </c>
      <c r="C25" s="146">
        <v>945.17</v>
      </c>
      <c r="D25" s="146">
        <v>878.31500000000005</v>
      </c>
      <c r="E25" s="146">
        <v>908.601</v>
      </c>
      <c r="F25" s="146">
        <v>934.06600000000003</v>
      </c>
      <c r="G25" s="146">
        <v>915.42399999999998</v>
      </c>
      <c r="H25" s="146">
        <v>816.49199999999996</v>
      </c>
      <c r="I25" s="146">
        <v>754.45799999999997</v>
      </c>
      <c r="J25" s="146">
        <v>947.25300000000004</v>
      </c>
      <c r="K25" s="146">
        <v>937.17399999999998</v>
      </c>
      <c r="L25" s="146">
        <v>835.23800000000006</v>
      </c>
      <c r="M25" s="146">
        <v>729.077</v>
      </c>
      <c r="N25" s="146">
        <f t="shared" si="0"/>
        <v>10521.456999999999</v>
      </c>
      <c r="O25" s="147"/>
      <c r="P25" s="148"/>
      <c r="Q25" s="148"/>
    </row>
    <row r="26" spans="1:17" s="120" customFormat="1">
      <c r="A26" s="145" t="s">
        <v>31</v>
      </c>
      <c r="B26" s="129">
        <v>2435.1991940000003</v>
      </c>
      <c r="C26" s="129">
        <v>2478.6021800000003</v>
      </c>
      <c r="D26" s="129">
        <v>2306.0580689999997</v>
      </c>
      <c r="E26" s="129">
        <v>2330.8003670000003</v>
      </c>
      <c r="F26" s="129">
        <v>2176.6931569999997</v>
      </c>
      <c r="G26" s="129">
        <v>2291.0879129999998</v>
      </c>
      <c r="H26" s="129">
        <v>2323.8443319999997</v>
      </c>
      <c r="I26" s="129">
        <v>2291.8211879999999</v>
      </c>
      <c r="J26" s="129">
        <v>2564.4300660000004</v>
      </c>
      <c r="K26" s="129">
        <v>2505.7186219999999</v>
      </c>
      <c r="L26" s="129">
        <v>2289.5530600000002</v>
      </c>
      <c r="M26" s="129">
        <v>2341.8403090000002</v>
      </c>
      <c r="N26" s="129">
        <v>28335.648456999996</v>
      </c>
      <c r="O26" s="147"/>
      <c r="P26" s="148"/>
      <c r="Q26" s="148"/>
    </row>
    <row r="27" spans="1:17" s="120" customFormat="1">
      <c r="A27" s="149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50"/>
      <c r="M27" s="146"/>
      <c r="N27" s="146"/>
      <c r="O27" s="147"/>
      <c r="P27" s="148"/>
      <c r="Q27" s="148"/>
    </row>
    <row r="28" spans="1:17" s="120" customFormat="1">
      <c r="A28" s="145" t="s">
        <v>101</v>
      </c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7"/>
      <c r="P28" s="148"/>
      <c r="Q28" s="148"/>
    </row>
    <row r="29" spans="1:17" s="120" customFormat="1">
      <c r="A29" s="149" t="s">
        <v>33</v>
      </c>
      <c r="B29" s="146">
        <v>1145.5228330000002</v>
      </c>
      <c r="C29" s="146">
        <v>1169.346818</v>
      </c>
      <c r="D29" s="146">
        <v>1163.1814300000001</v>
      </c>
      <c r="E29" s="146">
        <v>1210.3790349999999</v>
      </c>
      <c r="F29" s="146">
        <v>1212.476048</v>
      </c>
      <c r="G29" s="146">
        <v>1167.175497</v>
      </c>
      <c r="H29" s="146">
        <v>1244.669447</v>
      </c>
      <c r="I29" s="146">
        <v>1221.35673</v>
      </c>
      <c r="J29" s="146">
        <v>1262.5400970000001</v>
      </c>
      <c r="K29" s="146">
        <v>1137.9540440000001</v>
      </c>
      <c r="L29" s="146">
        <v>921.00712489875127</v>
      </c>
      <c r="M29" s="146">
        <v>685.50051700000006</v>
      </c>
      <c r="N29" s="146">
        <f t="shared" si="0"/>
        <v>13541.109620898753</v>
      </c>
      <c r="O29" s="147"/>
      <c r="P29" s="148"/>
      <c r="Q29" s="148"/>
    </row>
    <row r="30" spans="1:17" s="120" customFormat="1">
      <c r="A30" s="149" t="s">
        <v>65</v>
      </c>
      <c r="B30" s="146">
        <v>895.31576799999993</v>
      </c>
      <c r="C30" s="146">
        <v>932.50619300000005</v>
      </c>
      <c r="D30" s="146">
        <v>896.53531400000008</v>
      </c>
      <c r="E30" s="146">
        <v>922.78592000000003</v>
      </c>
      <c r="F30" s="146">
        <v>937.88292000000001</v>
      </c>
      <c r="G30" s="146">
        <v>924.46896800000002</v>
      </c>
      <c r="H30" s="146">
        <v>975.46243200000004</v>
      </c>
      <c r="I30" s="146">
        <v>1012.186311</v>
      </c>
      <c r="J30" s="146">
        <v>1045.187109</v>
      </c>
      <c r="K30" s="146">
        <v>1059.20706</v>
      </c>
      <c r="L30" s="146">
        <v>1101.2082230000001</v>
      </c>
      <c r="M30" s="146">
        <v>1117.4618700000001</v>
      </c>
      <c r="N30" s="146">
        <f t="shared" si="0"/>
        <v>11820.208088000003</v>
      </c>
      <c r="O30" s="147"/>
      <c r="P30" s="148"/>
      <c r="Q30" s="148"/>
    </row>
    <row r="31" spans="1:17" s="120" customFormat="1">
      <c r="A31" s="149" t="s">
        <v>66</v>
      </c>
      <c r="B31" s="146">
        <v>216.52915500000003</v>
      </c>
      <c r="C31" s="146">
        <v>238.34042400000001</v>
      </c>
      <c r="D31" s="146">
        <v>232.81247900000002</v>
      </c>
      <c r="E31" s="146">
        <v>236.90137799999999</v>
      </c>
      <c r="F31" s="146">
        <v>239.041259</v>
      </c>
      <c r="G31" s="146">
        <v>79.930761999999973</v>
      </c>
      <c r="H31" s="146">
        <v>197.12127900000002</v>
      </c>
      <c r="I31" s="146">
        <v>262.88142399999998</v>
      </c>
      <c r="J31" s="146">
        <v>257.00649639199997</v>
      </c>
      <c r="K31" s="146">
        <v>282.93389360800001</v>
      </c>
      <c r="L31" s="146">
        <v>210.12054000000003</v>
      </c>
      <c r="M31" s="146">
        <v>229.50745000000001</v>
      </c>
      <c r="N31" s="146">
        <f t="shared" si="0"/>
        <v>2683.1265399999997</v>
      </c>
      <c r="O31" s="147"/>
      <c r="P31" s="148"/>
      <c r="Q31" s="148"/>
    </row>
    <row r="32" spans="1:17" s="120" customFormat="1">
      <c r="A32" s="149" t="s">
        <v>67</v>
      </c>
      <c r="B32" s="146">
        <v>533.5</v>
      </c>
      <c r="C32" s="146">
        <v>616.5150000000001</v>
      </c>
      <c r="D32" s="146">
        <v>532.28269999999998</v>
      </c>
      <c r="E32" s="146">
        <v>501.84969999999998</v>
      </c>
      <c r="F32" s="146">
        <v>587.59998900000005</v>
      </c>
      <c r="G32" s="146">
        <v>501.46326399999998</v>
      </c>
      <c r="H32" s="146">
        <v>610.125</v>
      </c>
      <c r="I32" s="146">
        <v>170.78112100000001</v>
      </c>
      <c r="J32" s="146">
        <v>623.73291000000006</v>
      </c>
      <c r="K32" s="146">
        <v>582.80435999999997</v>
      </c>
      <c r="L32" s="146">
        <v>480.66161399999999</v>
      </c>
      <c r="M32" s="146">
        <v>618.66622999999993</v>
      </c>
      <c r="N32" s="146">
        <f t="shared" si="0"/>
        <v>6359.9818879999993</v>
      </c>
      <c r="O32" s="147"/>
      <c r="P32" s="148"/>
      <c r="Q32" s="148"/>
    </row>
    <row r="33" spans="1:17" s="120" customFormat="1">
      <c r="A33" s="145" t="s">
        <v>35</v>
      </c>
      <c r="B33" s="129">
        <v>2790.8677560000001</v>
      </c>
      <c r="C33" s="129">
        <v>2956.7084350000005</v>
      </c>
      <c r="D33" s="129">
        <v>2824.8119230000002</v>
      </c>
      <c r="E33" s="129">
        <v>2871.9160330000004</v>
      </c>
      <c r="F33" s="129">
        <v>2977.0002160000004</v>
      </c>
      <c r="G33" s="129">
        <v>2673.0384909999998</v>
      </c>
      <c r="H33" s="129">
        <v>3027.378158</v>
      </c>
      <c r="I33" s="129">
        <v>2667.205586</v>
      </c>
      <c r="J33" s="129">
        <v>3188.4666123920001</v>
      </c>
      <c r="K33" s="129">
        <v>3062.8993576079997</v>
      </c>
      <c r="L33" s="129">
        <v>2712.9975018987516</v>
      </c>
      <c r="M33" s="129">
        <v>2651.1360669999999</v>
      </c>
      <c r="N33" s="129">
        <v>34404.42613689875</v>
      </c>
      <c r="O33" s="147"/>
      <c r="P33" s="148"/>
      <c r="Q33" s="148"/>
    </row>
    <row r="34" spans="1:17" s="120" customFormat="1">
      <c r="A34" s="149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50"/>
      <c r="M34" s="146"/>
      <c r="N34" s="146"/>
      <c r="O34" s="147"/>
      <c r="P34" s="148"/>
      <c r="Q34" s="148"/>
    </row>
    <row r="35" spans="1:17" s="120" customFormat="1">
      <c r="A35" s="145" t="s">
        <v>102</v>
      </c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50"/>
      <c r="M35" s="146"/>
      <c r="N35" s="146"/>
      <c r="O35" s="147"/>
      <c r="P35" s="148"/>
      <c r="Q35" s="148"/>
    </row>
    <row r="36" spans="1:17" s="120" customFormat="1">
      <c r="A36" s="149" t="s">
        <v>37</v>
      </c>
      <c r="B36" s="146">
        <v>821.04734413999995</v>
      </c>
      <c r="C36" s="146">
        <v>806.50959910000006</v>
      </c>
      <c r="D36" s="146">
        <v>877.87750764999987</v>
      </c>
      <c r="E36" s="146">
        <v>951.21012184999995</v>
      </c>
      <c r="F36" s="146">
        <v>956.74649939999995</v>
      </c>
      <c r="G36" s="146">
        <v>884.89120809999997</v>
      </c>
      <c r="H36" s="146">
        <v>938.51398285999994</v>
      </c>
      <c r="I36" s="146">
        <v>833.46892434999995</v>
      </c>
      <c r="J36" s="146">
        <v>705.72835377999991</v>
      </c>
      <c r="K36" s="146">
        <v>824.40263427000002</v>
      </c>
      <c r="L36" s="146">
        <v>444.57487219999996</v>
      </c>
      <c r="M36" s="146">
        <v>716.39857469999993</v>
      </c>
      <c r="N36" s="146">
        <f t="shared" si="0"/>
        <v>9761.3696223999996</v>
      </c>
      <c r="O36" s="147"/>
      <c r="P36" s="148"/>
      <c r="Q36" s="148"/>
    </row>
    <row r="37" spans="1:17" s="120" customFormat="1">
      <c r="A37" s="149" t="s">
        <v>38</v>
      </c>
      <c r="B37" s="146">
        <v>55.691000000000003</v>
      </c>
      <c r="C37" s="146">
        <v>49.61</v>
      </c>
      <c r="D37" s="146">
        <v>33.487000000000002</v>
      </c>
      <c r="E37" s="146">
        <v>48.349000000000004</v>
      </c>
      <c r="F37" s="146">
        <v>45.985999999999997</v>
      </c>
      <c r="G37" s="146">
        <v>42.366</v>
      </c>
      <c r="H37" s="146">
        <v>46.384</v>
      </c>
      <c r="I37" s="146">
        <v>38.295000000000002</v>
      </c>
      <c r="J37" s="146">
        <v>40.797000000000004</v>
      </c>
      <c r="K37" s="146">
        <v>41.406999999999996</v>
      </c>
      <c r="L37" s="146">
        <v>37.431999999999995</v>
      </c>
      <c r="M37" s="146">
        <v>50.984000000000002</v>
      </c>
      <c r="N37" s="146">
        <f t="shared" si="0"/>
        <v>530.78800000000001</v>
      </c>
      <c r="O37" s="147"/>
      <c r="P37" s="148"/>
      <c r="Q37" s="148"/>
    </row>
    <row r="38" spans="1:17" s="120" customFormat="1">
      <c r="A38" s="145" t="s">
        <v>39</v>
      </c>
      <c r="B38" s="129">
        <v>876.73834413999998</v>
      </c>
      <c r="C38" s="129">
        <v>856.11959910000007</v>
      </c>
      <c r="D38" s="129">
        <v>911.36450764999984</v>
      </c>
      <c r="E38" s="129">
        <v>999.55912185</v>
      </c>
      <c r="F38" s="129">
        <v>1002.7324993999999</v>
      </c>
      <c r="G38" s="129">
        <v>927.25720809999996</v>
      </c>
      <c r="H38" s="129">
        <v>984.89798285999996</v>
      </c>
      <c r="I38" s="129">
        <v>871.76392434999991</v>
      </c>
      <c r="J38" s="129">
        <v>746.52535377999993</v>
      </c>
      <c r="K38" s="129">
        <v>865.80963427000006</v>
      </c>
      <c r="L38" s="129">
        <v>482.00687219999998</v>
      </c>
      <c r="M38" s="129">
        <v>767.38257469999996</v>
      </c>
      <c r="N38" s="151">
        <v>10292.157622399996</v>
      </c>
      <c r="O38" s="152"/>
      <c r="P38" s="148"/>
      <c r="Q38" s="148"/>
    </row>
    <row r="39" spans="1:17" s="120" customFormat="1">
      <c r="A39" s="149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50"/>
      <c r="M39" s="146"/>
      <c r="N39" s="146"/>
      <c r="O39" s="147"/>
      <c r="P39" s="148"/>
      <c r="Q39" s="148"/>
    </row>
    <row r="40" spans="1:17" s="120" customFormat="1">
      <c r="A40" s="145" t="s">
        <v>103</v>
      </c>
      <c r="B40" s="146"/>
      <c r="C40" s="146"/>
      <c r="D40" s="146"/>
      <c r="E40" s="146"/>
      <c r="F40" s="146"/>
      <c r="G40" s="146"/>
      <c r="H40" s="146"/>
      <c r="I40" s="146"/>
      <c r="J40" s="146"/>
      <c r="K40" s="146"/>
      <c r="L40" s="150"/>
      <c r="M40" s="146"/>
      <c r="N40" s="146"/>
      <c r="O40" s="147"/>
      <c r="P40" s="148"/>
      <c r="Q40" s="148"/>
    </row>
    <row r="41" spans="1:17" s="120" customFormat="1">
      <c r="A41" s="149" t="s">
        <v>41</v>
      </c>
      <c r="B41" s="146">
        <v>6.8052600000000005</v>
      </c>
      <c r="C41" s="146">
        <v>6.4004200000000004</v>
      </c>
      <c r="D41" s="146">
        <v>7.7592100000000004</v>
      </c>
      <c r="E41" s="146">
        <v>6.9251000000000005</v>
      </c>
      <c r="F41" s="146">
        <v>6.3996199999999996</v>
      </c>
      <c r="G41" s="146">
        <v>7.4793500000000002</v>
      </c>
      <c r="H41" s="146">
        <v>7.1813700000000003</v>
      </c>
      <c r="I41" s="146">
        <v>7.08765</v>
      </c>
      <c r="J41" s="146">
        <v>7.1942200000000005</v>
      </c>
      <c r="K41" s="146">
        <v>7.7025200000000007</v>
      </c>
      <c r="L41" s="146">
        <v>6.9694700000000003</v>
      </c>
      <c r="M41" s="146">
        <v>7.4501559999999998</v>
      </c>
      <c r="N41" s="146">
        <f t="shared" si="0"/>
        <v>85.354346000000021</v>
      </c>
      <c r="O41" s="147"/>
      <c r="P41" s="148"/>
      <c r="Q41" s="148"/>
    </row>
    <row r="42" spans="1:17" s="120" customFormat="1">
      <c r="A42" s="149" t="s">
        <v>42</v>
      </c>
      <c r="B42" s="146">
        <v>1165.9092999999998</v>
      </c>
      <c r="C42" s="146">
        <v>1232.4450965308361</v>
      </c>
      <c r="D42" s="146">
        <v>1273.9159999999999</v>
      </c>
      <c r="E42" s="146">
        <v>1331.9546850788799</v>
      </c>
      <c r="F42" s="146">
        <v>1376.0068267678157</v>
      </c>
      <c r="G42" s="146">
        <v>1302.3049999999998</v>
      </c>
      <c r="H42" s="146">
        <v>1368.885252</v>
      </c>
      <c r="I42" s="146">
        <v>1399.539972</v>
      </c>
      <c r="J42" s="146">
        <v>1476.640395715272</v>
      </c>
      <c r="K42" s="146">
        <v>1369.0643409999998</v>
      </c>
      <c r="L42" s="146">
        <v>1222.964968</v>
      </c>
      <c r="M42" s="146">
        <v>1445.663</v>
      </c>
      <c r="N42" s="146">
        <f t="shared" si="0"/>
        <v>15965.294837092804</v>
      </c>
      <c r="O42" s="147"/>
      <c r="P42" s="148"/>
      <c r="Q42" s="148"/>
    </row>
    <row r="43" spans="1:17" s="120" customFormat="1">
      <c r="A43" s="145" t="s">
        <v>43</v>
      </c>
      <c r="B43" s="129">
        <v>1172.7145599999999</v>
      </c>
      <c r="C43" s="129">
        <v>1238.845516530836</v>
      </c>
      <c r="D43" s="129">
        <v>1281.6752099999999</v>
      </c>
      <c r="E43" s="129">
        <v>1338.8797850788799</v>
      </c>
      <c r="F43" s="129">
        <v>1382.4064467678156</v>
      </c>
      <c r="G43" s="129">
        <v>1309.7843499999999</v>
      </c>
      <c r="H43" s="129">
        <v>1376.0666220000001</v>
      </c>
      <c r="I43" s="129">
        <v>1406.627622</v>
      </c>
      <c r="J43" s="129">
        <v>1483.8346157152721</v>
      </c>
      <c r="K43" s="129">
        <v>1376.7668609999998</v>
      </c>
      <c r="L43" s="129">
        <v>1229.934438</v>
      </c>
      <c r="M43" s="129">
        <v>1453.1131560000001</v>
      </c>
      <c r="N43" s="129">
        <v>16050.649183092803</v>
      </c>
      <c r="O43" s="147"/>
      <c r="P43" s="148"/>
      <c r="Q43" s="148"/>
    </row>
    <row r="44" spans="1:17" s="120" customFormat="1">
      <c r="A44" s="149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50"/>
      <c r="M44" s="146"/>
      <c r="N44" s="146"/>
      <c r="O44" s="147"/>
      <c r="P44" s="148"/>
      <c r="Q44" s="148"/>
    </row>
    <row r="45" spans="1:17" s="120" customFormat="1">
      <c r="A45" s="145" t="s">
        <v>44</v>
      </c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50"/>
      <c r="M45" s="146"/>
      <c r="N45" s="146"/>
      <c r="O45" s="147"/>
      <c r="P45" s="148"/>
      <c r="Q45" s="148"/>
    </row>
    <row r="46" spans="1:17" s="120" customFormat="1">
      <c r="A46" s="149" t="s">
        <v>45</v>
      </c>
      <c r="B46" s="146">
        <v>2731.9502609999995</v>
      </c>
      <c r="C46" s="146">
        <v>2856.3269420000006</v>
      </c>
      <c r="D46" s="146">
        <v>2726.5046369999995</v>
      </c>
      <c r="E46" s="146">
        <v>2814.0233060000005</v>
      </c>
      <c r="F46" s="146">
        <v>2778.7438500000007</v>
      </c>
      <c r="G46" s="146">
        <v>2657.7128200000002</v>
      </c>
      <c r="H46" s="146">
        <v>2756.6563109999993</v>
      </c>
      <c r="I46" s="146">
        <v>2654.8148170000004</v>
      </c>
      <c r="J46" s="146">
        <v>2782.1878269999988</v>
      </c>
      <c r="K46" s="146">
        <v>2774.6052770000006</v>
      </c>
      <c r="L46" s="146">
        <v>2504.838522</v>
      </c>
      <c r="M46" s="146">
        <v>2784.7860000000001</v>
      </c>
      <c r="N46" s="146">
        <f t="shared" si="0"/>
        <v>32823.150569999998</v>
      </c>
      <c r="O46" s="147"/>
      <c r="P46" s="148"/>
      <c r="Q46" s="148"/>
    </row>
    <row r="47" spans="1:17" s="120" customFormat="1">
      <c r="A47" s="149" t="s">
        <v>46</v>
      </c>
      <c r="B47" s="146">
        <v>3114.5259999999998</v>
      </c>
      <c r="C47" s="146">
        <v>2182.5079999999998</v>
      </c>
      <c r="D47" s="146">
        <v>3215.248</v>
      </c>
      <c r="E47" s="146">
        <v>3424.5070000000001</v>
      </c>
      <c r="F47" s="146">
        <v>3223.8229999999999</v>
      </c>
      <c r="G47" s="146">
        <v>3123.6390000000001</v>
      </c>
      <c r="H47" s="146">
        <v>3223.7</v>
      </c>
      <c r="I47" s="146">
        <v>3162.1529999999998</v>
      </c>
      <c r="J47" s="146">
        <v>3212.8009999999999</v>
      </c>
      <c r="K47" s="146">
        <v>3280.4589999999998</v>
      </c>
      <c r="L47" s="146">
        <v>2907.598</v>
      </c>
      <c r="M47" s="146">
        <v>3279.7579999999998</v>
      </c>
      <c r="N47" s="146">
        <f t="shared" si="0"/>
        <v>37350.720000000001</v>
      </c>
      <c r="O47" s="147"/>
      <c r="P47" s="148"/>
      <c r="Q47" s="148"/>
    </row>
    <row r="48" spans="1:17" s="120" customFormat="1">
      <c r="A48" s="145" t="s">
        <v>47</v>
      </c>
      <c r="B48" s="129">
        <v>5846.4762609999998</v>
      </c>
      <c r="C48" s="129">
        <v>5038.8349420000004</v>
      </c>
      <c r="D48" s="129">
        <v>5941.7526369999996</v>
      </c>
      <c r="E48" s="129">
        <v>6238.5303060000006</v>
      </c>
      <c r="F48" s="129">
        <v>6002.5668500000011</v>
      </c>
      <c r="G48" s="129">
        <v>5781.3518199999999</v>
      </c>
      <c r="H48" s="129">
        <v>5980.3563109999996</v>
      </c>
      <c r="I48" s="129">
        <v>5816.9678170000007</v>
      </c>
      <c r="J48" s="129">
        <v>5994.9888269999992</v>
      </c>
      <c r="K48" s="129">
        <v>6055.0642770000004</v>
      </c>
      <c r="L48" s="129">
        <v>5412.436522</v>
      </c>
      <c r="M48" s="129">
        <v>6064.5439999999999</v>
      </c>
      <c r="N48" s="129">
        <v>70173.870569999985</v>
      </c>
      <c r="O48" s="147"/>
      <c r="P48" s="148"/>
      <c r="Q48" s="148"/>
    </row>
    <row r="49" spans="1:17">
      <c r="A49" s="101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10"/>
      <c r="M49" s="102"/>
      <c r="N49" s="102"/>
      <c r="O49" s="108"/>
      <c r="P49" s="116"/>
      <c r="Q49" s="116"/>
    </row>
    <row r="50" spans="1:17" s="120" customFormat="1">
      <c r="A50" s="145" t="s">
        <v>48</v>
      </c>
      <c r="B50" s="146">
        <v>1718.8478039639999</v>
      </c>
      <c r="C50" s="146">
        <v>1778.564006499</v>
      </c>
      <c r="D50" s="146">
        <v>1720.0515682949999</v>
      </c>
      <c r="E50" s="146">
        <v>1760.2634869159999</v>
      </c>
      <c r="F50" s="146">
        <v>1780.9333405119999</v>
      </c>
      <c r="G50" s="146">
        <v>1750.8742600620001</v>
      </c>
      <c r="H50" s="146">
        <v>1777.170211889</v>
      </c>
      <c r="I50" s="146">
        <v>1726.7240578579997</v>
      </c>
      <c r="J50" s="146">
        <v>1777.0531002620005</v>
      </c>
      <c r="K50" s="146">
        <v>1772.1847636549996</v>
      </c>
      <c r="L50" s="146">
        <v>1595.357723827</v>
      </c>
      <c r="M50" s="146">
        <v>1760.8076085330003</v>
      </c>
      <c r="N50" s="146">
        <f>SUM(B50:M50)</f>
        <v>20918.831932272002</v>
      </c>
      <c r="O50" s="147"/>
      <c r="P50" s="148"/>
      <c r="Q50" s="148"/>
    </row>
    <row r="51" spans="1:17">
      <c r="A51" s="101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8"/>
      <c r="P51" s="116"/>
      <c r="Q51" s="116"/>
    </row>
    <row r="52" spans="1:17">
      <c r="A52" s="117" t="s">
        <v>49</v>
      </c>
      <c r="B52" s="125">
        <v>20153.914919104001</v>
      </c>
      <c r="C52" s="125">
        <v>19949.210679129839</v>
      </c>
      <c r="D52" s="125">
        <v>20168.714914944998</v>
      </c>
      <c r="E52" s="125">
        <v>21225.822099844878</v>
      </c>
      <c r="F52" s="125">
        <v>20275.779509679818</v>
      </c>
      <c r="G52" s="125">
        <v>19729.603042161998</v>
      </c>
      <c r="H52" s="125">
        <v>21012.562617748998</v>
      </c>
      <c r="I52" s="125">
        <v>19926.937195208</v>
      </c>
      <c r="J52" s="125">
        <v>21437.519575149268</v>
      </c>
      <c r="K52" s="125">
        <v>21108.687515533002</v>
      </c>
      <c r="L52" s="125">
        <v>19058.752117925753</v>
      </c>
      <c r="M52" s="125">
        <v>21318.597725232998</v>
      </c>
      <c r="N52" s="125">
        <v>245366.10191166354</v>
      </c>
      <c r="P52" s="116"/>
      <c r="Q52" s="116"/>
    </row>
    <row r="53" spans="1:17">
      <c r="A53" s="247" t="s">
        <v>68</v>
      </c>
      <c r="B53" s="248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9"/>
      <c r="O53" s="108"/>
      <c r="P53" s="108"/>
    </row>
    <row r="54" spans="1:17">
      <c r="A54" s="257" t="s">
        <v>108</v>
      </c>
      <c r="B54" s="258"/>
      <c r="C54" s="258"/>
      <c r="D54" s="258"/>
      <c r="E54" s="258"/>
      <c r="F54" s="258"/>
      <c r="G54" s="258"/>
      <c r="H54" s="258"/>
      <c r="I54" s="258"/>
      <c r="J54" s="258"/>
      <c r="K54" s="258"/>
      <c r="L54" s="258"/>
      <c r="M54" s="258"/>
      <c r="N54" s="259"/>
      <c r="P54" s="108"/>
    </row>
    <row r="55" spans="1:17">
      <c r="C55" s="118"/>
      <c r="D55" s="118"/>
      <c r="E55" s="118"/>
      <c r="F55" s="118"/>
      <c r="G55" s="118"/>
      <c r="H55" s="118"/>
      <c r="I55" s="118"/>
      <c r="J55" s="118"/>
      <c r="K55" s="118"/>
      <c r="P55" s="108"/>
    </row>
    <row r="56" spans="1:17">
      <c r="C56" s="119"/>
      <c r="D56" s="119"/>
      <c r="E56" s="119"/>
      <c r="F56" s="119"/>
      <c r="G56" s="119"/>
      <c r="H56" s="119"/>
      <c r="I56" s="119"/>
      <c r="J56" s="119"/>
      <c r="K56" s="119"/>
    </row>
  </sheetData>
  <mergeCells count="6">
    <mergeCell ref="A2:B6"/>
    <mergeCell ref="C2:H2"/>
    <mergeCell ref="I7:N7"/>
    <mergeCell ref="A8:N8"/>
    <mergeCell ref="A53:N53"/>
    <mergeCell ref="A54:N54"/>
  </mergeCells>
  <pageMargins left="0.7" right="0.7" top="1" bottom="0.75" header="0.3" footer="0.3"/>
  <pageSetup scale="59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BF7A3-86E4-4D51-9C99-D463DB6E2DAD}">
  <sheetPr>
    <pageSetUpPr fitToPage="1"/>
  </sheetPr>
  <dimension ref="A1:P53"/>
  <sheetViews>
    <sheetView topLeftCell="A25" workbookViewId="0">
      <pane xSplit="19965" topLeftCell="N1"/>
      <selection activeCell="E41" sqref="E41"/>
      <selection pane="topRight" activeCell="N1" sqref="N1"/>
    </sheetView>
  </sheetViews>
  <sheetFormatPr defaultRowHeight="15"/>
  <cols>
    <col min="1" max="1" width="33.7109375" style="100" customWidth="1"/>
    <col min="2" max="14" width="12.28515625" style="100" customWidth="1"/>
    <col min="15" max="16384" width="9.140625" style="100"/>
  </cols>
  <sheetData>
    <row r="1" spans="1:16" ht="20.25">
      <c r="A1" s="225"/>
      <c r="B1" s="225"/>
      <c r="C1" s="242" t="s">
        <v>0</v>
      </c>
      <c r="D1" s="242"/>
      <c r="E1" s="242"/>
      <c r="F1" s="242"/>
      <c r="G1" s="242"/>
      <c r="H1" s="242"/>
    </row>
    <row r="2" spans="1:16">
      <c r="A2" s="225"/>
      <c r="B2" s="225"/>
    </row>
    <row r="3" spans="1:16">
      <c r="A3" s="225"/>
      <c r="B3" s="225"/>
    </row>
    <row r="4" spans="1:16">
      <c r="A4" s="225"/>
      <c r="B4" s="225"/>
    </row>
    <row r="5" spans="1:16">
      <c r="A5" s="225"/>
      <c r="B5" s="225"/>
    </row>
    <row r="6" spans="1:16" ht="18.75">
      <c r="A6" s="105" t="s">
        <v>92</v>
      </c>
      <c r="B6" s="111"/>
      <c r="C6" s="111"/>
      <c r="D6" s="111"/>
      <c r="E6" s="111"/>
      <c r="F6" s="111"/>
      <c r="G6" s="111"/>
      <c r="H6" s="111"/>
      <c r="I6" s="243" t="s">
        <v>2</v>
      </c>
      <c r="J6" s="243"/>
      <c r="K6" s="243"/>
      <c r="L6" s="243"/>
      <c r="M6" s="243"/>
      <c r="N6" s="243"/>
    </row>
    <row r="7" spans="1:16" ht="18.75">
      <c r="A7" s="244" t="s">
        <v>3</v>
      </c>
      <c r="B7" s="245"/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6"/>
    </row>
    <row r="8" spans="1:16" ht="18.75">
      <c r="A8" s="112" t="s">
        <v>51</v>
      </c>
      <c r="B8" s="112" t="s">
        <v>52</v>
      </c>
      <c r="C8" s="103" t="s">
        <v>53</v>
      </c>
      <c r="D8" s="103" t="s">
        <v>54</v>
      </c>
      <c r="E8" s="103" t="s">
        <v>55</v>
      </c>
      <c r="F8" s="103" t="s">
        <v>56</v>
      </c>
      <c r="G8" s="103" t="s">
        <v>57</v>
      </c>
      <c r="H8" s="103" t="s">
        <v>58</v>
      </c>
      <c r="I8" s="103" t="s">
        <v>59</v>
      </c>
      <c r="J8" s="103" t="s">
        <v>60</v>
      </c>
      <c r="K8" s="103" t="s">
        <v>61</v>
      </c>
      <c r="L8" s="103" t="s">
        <v>62</v>
      </c>
      <c r="M8" s="103" t="s">
        <v>63</v>
      </c>
      <c r="N8" s="103" t="s">
        <v>64</v>
      </c>
    </row>
    <row r="9" spans="1:16">
      <c r="A9" s="115" t="s">
        <v>17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</row>
    <row r="10" spans="1:16">
      <c r="A10" s="101" t="s">
        <v>18</v>
      </c>
      <c r="B10" s="102">
        <v>603.78499999999997</v>
      </c>
      <c r="C10" s="102">
        <v>1204.3869999999999</v>
      </c>
      <c r="D10" s="102">
        <v>1176.2049999999999</v>
      </c>
      <c r="E10" s="102">
        <v>1256.2339999999999</v>
      </c>
      <c r="F10" s="102">
        <v>1190.817</v>
      </c>
      <c r="G10" s="102">
        <v>1065.6640000000002</v>
      </c>
      <c r="H10" s="102">
        <v>1264.2069999999999</v>
      </c>
      <c r="I10" s="102">
        <v>1218.0650000000001</v>
      </c>
      <c r="J10" s="102">
        <v>1205.5300000000002</v>
      </c>
      <c r="K10" s="102">
        <v>1188.9779999999998</v>
      </c>
      <c r="L10" s="102">
        <v>1177.4950000000001</v>
      </c>
      <c r="M10" s="102">
        <v>1268.547</v>
      </c>
      <c r="N10" s="102">
        <v>13819.914000000002</v>
      </c>
      <c r="O10" s="108"/>
      <c r="P10" s="108"/>
    </row>
    <row r="11" spans="1:16">
      <c r="A11" s="101" t="s">
        <v>19</v>
      </c>
      <c r="B11" s="102">
        <v>675.39400000000001</v>
      </c>
      <c r="C11" s="102">
        <v>699.13099999999997</v>
      </c>
      <c r="D11" s="102">
        <v>732.79100000000005</v>
      </c>
      <c r="E11" s="102">
        <v>757.25700000000006</v>
      </c>
      <c r="F11" s="102">
        <v>703.47199999999998</v>
      </c>
      <c r="G11" s="102">
        <v>695.8</v>
      </c>
      <c r="H11" s="102">
        <v>775.50299999999993</v>
      </c>
      <c r="I11" s="102">
        <v>735.96900000000005</v>
      </c>
      <c r="J11" s="102">
        <v>759.9799999999999</v>
      </c>
      <c r="K11" s="102">
        <v>770.79700000000003</v>
      </c>
      <c r="L11" s="102">
        <v>739.98</v>
      </c>
      <c r="M11" s="102">
        <v>814.20699999999999</v>
      </c>
      <c r="N11" s="102">
        <v>8860.280999999999</v>
      </c>
      <c r="O11" s="108"/>
      <c r="P11" s="108"/>
    </row>
    <row r="12" spans="1:16">
      <c r="A12" s="101" t="s">
        <v>20</v>
      </c>
      <c r="B12" s="102">
        <v>1293.0809999999997</v>
      </c>
      <c r="C12" s="102">
        <v>1366.4299999999998</v>
      </c>
      <c r="D12" s="102">
        <v>1212.3789999999999</v>
      </c>
      <c r="E12" s="102">
        <v>1191.24</v>
      </c>
      <c r="F12" s="102">
        <v>1086.8309999999999</v>
      </c>
      <c r="G12" s="102">
        <v>1268.9879999999998</v>
      </c>
      <c r="H12" s="102">
        <v>1264.4619999999998</v>
      </c>
      <c r="I12" s="102">
        <v>1300.586</v>
      </c>
      <c r="J12" s="102">
        <v>1298.5239999999999</v>
      </c>
      <c r="K12" s="102">
        <v>1357.204</v>
      </c>
      <c r="L12" s="102">
        <v>1296.625</v>
      </c>
      <c r="M12" s="102">
        <v>1346.018</v>
      </c>
      <c r="N12" s="102">
        <v>15282.367999999997</v>
      </c>
      <c r="O12" s="108"/>
      <c r="P12" s="108"/>
    </row>
    <row r="13" spans="1:16">
      <c r="A13" s="101" t="s">
        <v>21</v>
      </c>
      <c r="B13" s="102">
        <v>647.11099999999999</v>
      </c>
      <c r="C13" s="102">
        <v>662.70900000000006</v>
      </c>
      <c r="D13" s="102">
        <v>667.00200000000007</v>
      </c>
      <c r="E13" s="102">
        <v>663.36199999999997</v>
      </c>
      <c r="F13" s="102">
        <v>667.202</v>
      </c>
      <c r="G13" s="102">
        <v>491.44600000000003</v>
      </c>
      <c r="H13" s="102">
        <v>534.32100000000003</v>
      </c>
      <c r="I13" s="102">
        <v>696.87099999999998</v>
      </c>
      <c r="J13" s="102">
        <v>726.61799999999994</v>
      </c>
      <c r="K13" s="102">
        <v>722.92399999999998</v>
      </c>
      <c r="L13" s="102">
        <v>640.62300000000005</v>
      </c>
      <c r="M13" s="102">
        <v>656.28199999999993</v>
      </c>
      <c r="N13" s="102">
        <v>7776.4710000000005</v>
      </c>
      <c r="O13" s="108"/>
      <c r="P13" s="108"/>
    </row>
    <row r="14" spans="1:16">
      <c r="A14" s="101" t="s">
        <v>22</v>
      </c>
      <c r="B14" s="102">
        <v>474.4190000000001</v>
      </c>
      <c r="C14" s="102">
        <v>527.14200000000017</v>
      </c>
      <c r="D14" s="102">
        <v>541.21500000000003</v>
      </c>
      <c r="E14" s="102">
        <v>533.94299999999998</v>
      </c>
      <c r="F14" s="102">
        <v>565.99900000000002</v>
      </c>
      <c r="G14" s="102">
        <v>526.94099999999992</v>
      </c>
      <c r="H14" s="102">
        <v>559.226</v>
      </c>
      <c r="I14" s="102">
        <v>578.69600000000003</v>
      </c>
      <c r="J14" s="102">
        <v>602.38599999999997</v>
      </c>
      <c r="K14" s="102">
        <v>561.59</v>
      </c>
      <c r="L14" s="102">
        <v>506.43700000000001</v>
      </c>
      <c r="M14" s="102">
        <v>566.7589999999999</v>
      </c>
      <c r="N14" s="102">
        <v>6544.7530000000006</v>
      </c>
      <c r="O14" s="108"/>
      <c r="P14" s="108"/>
    </row>
    <row r="15" spans="1:16">
      <c r="A15" s="101" t="s">
        <v>23</v>
      </c>
      <c r="B15" s="102">
        <v>93.522000000000006</v>
      </c>
      <c r="C15" s="102">
        <v>95.257000000000005</v>
      </c>
      <c r="D15" s="102">
        <v>93.287999999999997</v>
      </c>
      <c r="E15" s="102">
        <v>84.596999999999994</v>
      </c>
      <c r="F15" s="102">
        <v>78.504000000000005</v>
      </c>
      <c r="G15" s="102">
        <v>71.930000000000007</v>
      </c>
      <c r="H15" s="102">
        <v>76.725999999999999</v>
      </c>
      <c r="I15" s="102">
        <v>72.355000000000004</v>
      </c>
      <c r="J15" s="102">
        <v>74.637</v>
      </c>
      <c r="K15" s="102">
        <v>40.265000000000001</v>
      </c>
      <c r="L15" s="102">
        <v>37.798999999999999</v>
      </c>
      <c r="M15" s="102">
        <v>84.643000000000001</v>
      </c>
      <c r="N15" s="102">
        <v>903.52300000000002</v>
      </c>
      <c r="O15" s="108"/>
      <c r="P15" s="108"/>
    </row>
    <row r="16" spans="1:16">
      <c r="A16" s="101" t="s">
        <v>24</v>
      </c>
      <c r="B16" s="102">
        <v>29.173999999999999</v>
      </c>
      <c r="C16" s="102">
        <v>55.185000000000002</v>
      </c>
      <c r="D16" s="102">
        <v>51.360999999999997</v>
      </c>
      <c r="E16" s="102">
        <v>49.06</v>
      </c>
      <c r="F16" s="102">
        <v>53.402000000000001</v>
      </c>
      <c r="G16" s="102">
        <v>44.597999999999999</v>
      </c>
      <c r="H16" s="102">
        <v>48.387</v>
      </c>
      <c r="I16" s="102">
        <v>42.594999999999999</v>
      </c>
      <c r="J16" s="102">
        <v>42.034999999999997</v>
      </c>
      <c r="K16" s="102">
        <v>43.003999999999998</v>
      </c>
      <c r="L16" s="102">
        <v>44.029000000000003</v>
      </c>
      <c r="M16" s="102">
        <v>59.003</v>
      </c>
      <c r="N16" s="102">
        <v>561.83300000000008</v>
      </c>
      <c r="O16" s="108"/>
      <c r="P16" s="108"/>
    </row>
    <row r="17" spans="1:16">
      <c r="A17" s="101" t="s">
        <v>25</v>
      </c>
      <c r="B17" s="102">
        <v>235.88400000000001</v>
      </c>
      <c r="C17" s="102">
        <v>230.72699999999998</v>
      </c>
      <c r="D17" s="102">
        <v>200.48599999999999</v>
      </c>
      <c r="E17" s="102">
        <v>213.41400000000002</v>
      </c>
      <c r="F17" s="102">
        <v>212.16600000000003</v>
      </c>
      <c r="G17" s="102">
        <v>209.63699999999997</v>
      </c>
      <c r="H17" s="102">
        <v>182.79499999999999</v>
      </c>
      <c r="I17" s="102">
        <v>154.28200000000001</v>
      </c>
      <c r="J17" s="102">
        <v>208.19400000000002</v>
      </c>
      <c r="K17" s="102">
        <v>200.44700000000003</v>
      </c>
      <c r="L17" s="102">
        <v>191.72700000000003</v>
      </c>
      <c r="M17" s="102">
        <v>201.905</v>
      </c>
      <c r="N17" s="102">
        <v>2441.6639999999998</v>
      </c>
      <c r="O17" s="108"/>
      <c r="P17" s="108"/>
    </row>
    <row r="18" spans="1:16">
      <c r="A18" s="101" t="s">
        <v>104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2">
        <v>809.89999999999986</v>
      </c>
      <c r="L18" s="102">
        <v>503.16992001610299</v>
      </c>
      <c r="M18" s="102">
        <v>503.60330599999998</v>
      </c>
      <c r="N18" s="102">
        <v>1816.6732260161029</v>
      </c>
      <c r="O18" s="108"/>
      <c r="P18" s="108"/>
    </row>
    <row r="19" spans="1:16">
      <c r="A19" s="115" t="s">
        <v>27</v>
      </c>
      <c r="B19" s="125">
        <v>4052.37</v>
      </c>
      <c r="C19" s="125">
        <v>4840.9679999999998</v>
      </c>
      <c r="D19" s="125">
        <v>4674.726999999999</v>
      </c>
      <c r="E19" s="125">
        <v>4749.107</v>
      </c>
      <c r="F19" s="125">
        <v>4558.393</v>
      </c>
      <c r="G19" s="125">
        <v>4375.0039999999999</v>
      </c>
      <c r="H19" s="125">
        <v>4705.6269999999986</v>
      </c>
      <c r="I19" s="125">
        <v>4799.4189999999999</v>
      </c>
      <c r="J19" s="125">
        <v>4917.9040000000005</v>
      </c>
      <c r="K19" s="125">
        <v>5695.1089999999995</v>
      </c>
      <c r="L19" s="125">
        <v>5137.8849200161039</v>
      </c>
      <c r="M19" s="125">
        <v>5500.9673059999996</v>
      </c>
      <c r="N19" s="125">
        <v>58007.480226016094</v>
      </c>
      <c r="O19" s="108"/>
      <c r="P19" s="108"/>
    </row>
    <row r="20" spans="1:16">
      <c r="A20" s="101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8"/>
      <c r="P20" s="108"/>
    </row>
    <row r="21" spans="1:16">
      <c r="A21" s="115" t="s">
        <v>28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8"/>
      <c r="P21" s="108"/>
    </row>
    <row r="22" spans="1:16">
      <c r="A22" s="101" t="s">
        <v>29</v>
      </c>
      <c r="B22" s="102">
        <v>551.32292000000007</v>
      </c>
      <c r="C22" s="102">
        <v>420.03510300000011</v>
      </c>
      <c r="D22" s="102">
        <v>653.72833500000002</v>
      </c>
      <c r="E22" s="102">
        <v>689.86858899999993</v>
      </c>
      <c r="F22" s="102">
        <v>693.20980499999996</v>
      </c>
      <c r="G22" s="102">
        <v>696.69750799999997</v>
      </c>
      <c r="H22" s="102">
        <v>697.42098799999997</v>
      </c>
      <c r="I22" s="102">
        <v>673.86252000000013</v>
      </c>
      <c r="J22" s="102">
        <v>718.50372900000002</v>
      </c>
      <c r="K22" s="102">
        <v>748.72437799999989</v>
      </c>
      <c r="L22" s="102">
        <v>695.90376900000001</v>
      </c>
      <c r="M22" s="102">
        <v>775.8675770000001</v>
      </c>
      <c r="N22" s="102">
        <v>8015.1452209999998</v>
      </c>
      <c r="O22" s="108"/>
      <c r="P22" s="108"/>
    </row>
    <row r="23" spans="1:16">
      <c r="A23" s="101" t="s">
        <v>30</v>
      </c>
      <c r="B23" s="102">
        <v>738.82998399999997</v>
      </c>
      <c r="C23" s="102">
        <v>807.38591199999996</v>
      </c>
      <c r="D23" s="102">
        <v>588.39213100000006</v>
      </c>
      <c r="E23" s="102">
        <v>466.226293</v>
      </c>
      <c r="F23" s="102">
        <v>858.162148</v>
      </c>
      <c r="G23" s="102">
        <v>802.48524100000009</v>
      </c>
      <c r="H23" s="102">
        <v>826.21096699999987</v>
      </c>
      <c r="I23" s="102">
        <v>807.36041100000011</v>
      </c>
      <c r="J23" s="102">
        <v>846.17353899999989</v>
      </c>
      <c r="K23" s="102">
        <v>856.69868000000008</v>
      </c>
      <c r="L23" s="102">
        <v>782.71132300000011</v>
      </c>
      <c r="M23" s="102">
        <v>839.806691</v>
      </c>
      <c r="N23" s="102">
        <v>9220.4433200000003</v>
      </c>
      <c r="O23" s="108"/>
      <c r="P23" s="108"/>
    </row>
    <row r="24" spans="1:16">
      <c r="A24" s="101" t="s">
        <v>72</v>
      </c>
      <c r="B24" s="102">
        <v>895.89400000000001</v>
      </c>
      <c r="C24" s="102">
        <v>925.12900000000002</v>
      </c>
      <c r="D24" s="102">
        <v>897.02</v>
      </c>
      <c r="E24" s="102">
        <v>922.12</v>
      </c>
      <c r="F24" s="102">
        <v>937.35799999999995</v>
      </c>
      <c r="G24" s="102">
        <v>906.94899999999996</v>
      </c>
      <c r="H24" s="102">
        <v>931.73800000000006</v>
      </c>
      <c r="I24" s="102">
        <v>908.13699999999994</v>
      </c>
      <c r="J24" s="102">
        <v>934.90599999999995</v>
      </c>
      <c r="K24" s="102">
        <v>817.89800000000002</v>
      </c>
      <c r="L24" s="102">
        <v>699.596</v>
      </c>
      <c r="M24" s="102">
        <v>936.56</v>
      </c>
      <c r="N24" s="102">
        <v>10713.304999999998</v>
      </c>
      <c r="O24" s="108"/>
      <c r="P24" s="108"/>
    </row>
    <row r="25" spans="1:16">
      <c r="A25" s="115" t="s">
        <v>31</v>
      </c>
      <c r="B25" s="125">
        <v>2186.0469039999998</v>
      </c>
      <c r="C25" s="125">
        <v>2152.5500150000003</v>
      </c>
      <c r="D25" s="125">
        <v>2139.1404659999998</v>
      </c>
      <c r="E25" s="125">
        <v>2078.2148819999998</v>
      </c>
      <c r="F25" s="125">
        <v>2488.729953</v>
      </c>
      <c r="G25" s="125">
        <v>2406.1317490000001</v>
      </c>
      <c r="H25" s="125">
        <v>2455.3699550000001</v>
      </c>
      <c r="I25" s="125">
        <v>2389.359931</v>
      </c>
      <c r="J25" s="125">
        <v>2499.5832679999999</v>
      </c>
      <c r="K25" s="125">
        <v>2423.321058</v>
      </c>
      <c r="L25" s="125">
        <v>2178.211092</v>
      </c>
      <c r="M25" s="125">
        <v>2552.2342680000002</v>
      </c>
      <c r="N25" s="125">
        <v>27948.893541000001</v>
      </c>
      <c r="O25" s="108"/>
      <c r="P25" s="108"/>
    </row>
    <row r="26" spans="1:16">
      <c r="A26" s="101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8"/>
      <c r="P26" s="108"/>
    </row>
    <row r="27" spans="1:16">
      <c r="A27" s="115" t="s">
        <v>32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8"/>
      <c r="P27" s="108"/>
    </row>
    <row r="28" spans="1:16">
      <c r="A28" s="101" t="s">
        <v>33</v>
      </c>
      <c r="B28" s="102">
        <v>1136.5144320000002</v>
      </c>
      <c r="C28" s="102">
        <v>1163.691945</v>
      </c>
      <c r="D28" s="102">
        <v>1056.417637</v>
      </c>
      <c r="E28" s="102">
        <v>1099.2418640000001</v>
      </c>
      <c r="F28" s="102">
        <v>1094.919981</v>
      </c>
      <c r="G28" s="102">
        <v>997.23948699999994</v>
      </c>
      <c r="H28" s="102">
        <v>1126.3313519999999</v>
      </c>
      <c r="I28" s="102">
        <v>1116.4670000000001</v>
      </c>
      <c r="J28" s="102">
        <v>1149.7992469999999</v>
      </c>
      <c r="K28" s="102">
        <v>1137.1293989999999</v>
      </c>
      <c r="L28" s="102">
        <v>1119.300334</v>
      </c>
      <c r="M28" s="102">
        <v>1174.206655</v>
      </c>
      <c r="N28" s="102">
        <v>13371.259332999998</v>
      </c>
      <c r="O28" s="108"/>
      <c r="P28" s="108"/>
    </row>
    <row r="29" spans="1:16">
      <c r="A29" s="101" t="s">
        <v>65</v>
      </c>
      <c r="B29" s="102">
        <v>893.87689699999987</v>
      </c>
      <c r="C29" s="102">
        <v>928.14794800000004</v>
      </c>
      <c r="D29" s="102">
        <v>902.92013099999997</v>
      </c>
      <c r="E29" s="102">
        <v>928.29706299999998</v>
      </c>
      <c r="F29" s="102">
        <v>938.0910879999999</v>
      </c>
      <c r="G29" s="102">
        <v>901.46635700000002</v>
      </c>
      <c r="H29" s="102">
        <v>655.61650000000009</v>
      </c>
      <c r="I29" s="102">
        <v>907.0607399999999</v>
      </c>
      <c r="J29" s="102">
        <v>935.22245699999996</v>
      </c>
      <c r="K29" s="102">
        <v>924.76551300000006</v>
      </c>
      <c r="L29" s="102">
        <v>872.64005100000008</v>
      </c>
      <c r="M29" s="102">
        <v>923.44338300000004</v>
      </c>
      <c r="N29" s="102">
        <v>10711.548128</v>
      </c>
      <c r="O29" s="108"/>
      <c r="P29" s="108"/>
    </row>
    <row r="30" spans="1:16">
      <c r="A30" s="101" t="s">
        <v>66</v>
      </c>
      <c r="B30" s="102">
        <v>1.4614876030000015</v>
      </c>
      <c r="C30" s="102">
        <v>150.79345950200005</v>
      </c>
      <c r="D30" s="102">
        <v>260.81716240000003</v>
      </c>
      <c r="E30" s="102">
        <v>252.55759649499998</v>
      </c>
      <c r="F30" s="102">
        <v>252.93426599999998</v>
      </c>
      <c r="G30" s="102">
        <v>247.76793099999998</v>
      </c>
      <c r="H30" s="102">
        <v>232.95095000000001</v>
      </c>
      <c r="I30" s="102">
        <v>218.68424999999999</v>
      </c>
      <c r="J30" s="102">
        <v>229.20985299999995</v>
      </c>
      <c r="K30" s="102">
        <v>233.933673</v>
      </c>
      <c r="L30" s="102">
        <v>203.01415499999999</v>
      </c>
      <c r="M30" s="102">
        <v>236.14367200000001</v>
      </c>
      <c r="N30" s="102">
        <v>2520.2684559999998</v>
      </c>
      <c r="O30" s="108"/>
      <c r="P30" s="108"/>
    </row>
    <row r="31" spans="1:16">
      <c r="A31" s="101" t="s">
        <v>67</v>
      </c>
      <c r="B31" s="102">
        <v>1.514</v>
      </c>
      <c r="C31" s="102">
        <v>571.13499999999999</v>
      </c>
      <c r="D31" s="102">
        <v>601.08364100000006</v>
      </c>
      <c r="E31" s="102">
        <v>631.07491299999992</v>
      </c>
      <c r="F31" s="102">
        <v>620.19309299999998</v>
      </c>
      <c r="G31" s="102">
        <v>619.68626300000005</v>
      </c>
      <c r="H31" s="102">
        <v>612.91222599999992</v>
      </c>
      <c r="I31" s="102">
        <v>501.004212</v>
      </c>
      <c r="J31" s="102">
        <v>501.64799599999998</v>
      </c>
      <c r="K31" s="102">
        <v>601.41174599999999</v>
      </c>
      <c r="L31" s="102">
        <v>502.20344499999999</v>
      </c>
      <c r="M31" s="102">
        <v>638.33847199999991</v>
      </c>
      <c r="N31" s="102">
        <v>6402.2050069999987</v>
      </c>
      <c r="O31" s="108"/>
      <c r="P31" s="108"/>
    </row>
    <row r="32" spans="1:16">
      <c r="A32" s="115" t="s">
        <v>35</v>
      </c>
      <c r="B32" s="125">
        <v>2033.366816603</v>
      </c>
      <c r="C32" s="125">
        <v>2813.7683525020002</v>
      </c>
      <c r="D32" s="125">
        <v>2821.2385714000002</v>
      </c>
      <c r="E32" s="125">
        <v>2911.1714364949999</v>
      </c>
      <c r="F32" s="125">
        <v>2906.1384279999997</v>
      </c>
      <c r="G32" s="125">
        <v>2766.160038</v>
      </c>
      <c r="H32" s="125">
        <v>2627.8110280000001</v>
      </c>
      <c r="I32" s="125">
        <v>2743.2162019999996</v>
      </c>
      <c r="J32" s="125">
        <v>2815.8795529999998</v>
      </c>
      <c r="K32" s="125">
        <v>2897.240331</v>
      </c>
      <c r="L32" s="125">
        <v>2697.1579850000003</v>
      </c>
      <c r="M32" s="125">
        <v>2972.1321819999998</v>
      </c>
      <c r="N32" s="125">
        <v>33005.280923999999</v>
      </c>
      <c r="O32" s="108"/>
      <c r="P32" s="108"/>
    </row>
    <row r="33" spans="1:16">
      <c r="A33" s="101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8"/>
      <c r="P33" s="108"/>
    </row>
    <row r="34" spans="1:16">
      <c r="A34" s="115" t="s">
        <v>36</v>
      </c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8"/>
      <c r="P34" s="108"/>
    </row>
    <row r="35" spans="1:16">
      <c r="A35" s="101" t="s">
        <v>37</v>
      </c>
      <c r="B35" s="102">
        <v>901.23535000000004</v>
      </c>
      <c r="C35" s="102">
        <v>906.98019346000024</v>
      </c>
      <c r="D35" s="102">
        <v>904.35056792060254</v>
      </c>
      <c r="E35" s="102">
        <v>715.83486815400011</v>
      </c>
      <c r="F35" s="102">
        <v>508.39185562299997</v>
      </c>
      <c r="G35" s="102">
        <v>690.77988500300012</v>
      </c>
      <c r="H35" s="102">
        <v>618.13614526000003</v>
      </c>
      <c r="I35" s="102">
        <v>698.95890541999995</v>
      </c>
      <c r="J35" s="102">
        <v>508.01956955999998</v>
      </c>
      <c r="K35" s="102">
        <v>878.15606778999984</v>
      </c>
      <c r="L35" s="102">
        <v>867.40220095999996</v>
      </c>
      <c r="M35" s="102">
        <v>900.90510503000007</v>
      </c>
      <c r="N35" s="102">
        <v>9099.1507141806032</v>
      </c>
      <c r="O35" s="108"/>
      <c r="P35" s="108"/>
    </row>
    <row r="36" spans="1:16">
      <c r="A36" s="101" t="s">
        <v>38</v>
      </c>
      <c r="B36" s="102">
        <v>39.079000000000001</v>
      </c>
      <c r="C36" s="102">
        <v>43.314999999999998</v>
      </c>
      <c r="D36" s="102">
        <v>48.102999999999994</v>
      </c>
      <c r="E36" s="102">
        <v>49.095000000000006</v>
      </c>
      <c r="F36" s="102">
        <v>48.286999999999999</v>
      </c>
      <c r="G36" s="102">
        <v>46.204999999999998</v>
      </c>
      <c r="H36" s="102">
        <v>40.862000000000002</v>
      </c>
      <c r="I36" s="102">
        <v>41.141000000000005</v>
      </c>
      <c r="J36" s="102">
        <v>19.522000000000002</v>
      </c>
      <c r="K36" s="102">
        <v>55.588000000000001</v>
      </c>
      <c r="L36" s="102">
        <v>54.617000000000004</v>
      </c>
      <c r="M36" s="102">
        <v>57.744999999999997</v>
      </c>
      <c r="N36" s="102">
        <v>543.55900000000008</v>
      </c>
      <c r="O36" s="108"/>
      <c r="P36" s="108"/>
    </row>
    <row r="37" spans="1:16">
      <c r="A37" s="115" t="s">
        <v>39</v>
      </c>
      <c r="B37" s="125">
        <v>940.31434999999999</v>
      </c>
      <c r="C37" s="125">
        <v>950.29519346000029</v>
      </c>
      <c r="D37" s="125">
        <v>952.4535679206025</v>
      </c>
      <c r="E37" s="125">
        <v>764.92986815400013</v>
      </c>
      <c r="F37" s="125">
        <v>556.678855623</v>
      </c>
      <c r="G37" s="125">
        <v>736.98488500300016</v>
      </c>
      <c r="H37" s="125">
        <v>658.99814526</v>
      </c>
      <c r="I37" s="125">
        <v>740.09990541999991</v>
      </c>
      <c r="J37" s="125">
        <v>527.54156955999997</v>
      </c>
      <c r="K37" s="125">
        <v>933.7440677899998</v>
      </c>
      <c r="L37" s="125">
        <v>922.01920095999992</v>
      </c>
      <c r="M37" s="125">
        <v>958.65010503000008</v>
      </c>
      <c r="N37" s="125">
        <f>SUM(B37:M37)</f>
        <v>9642.7097141806025</v>
      </c>
      <c r="O37" s="108"/>
      <c r="P37" s="108"/>
    </row>
    <row r="38" spans="1:16">
      <c r="A38" s="101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8"/>
      <c r="P38" s="108"/>
    </row>
    <row r="39" spans="1:16">
      <c r="A39" s="115" t="s">
        <v>40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8"/>
      <c r="P39" s="108"/>
    </row>
    <row r="40" spans="1:16">
      <c r="A40" s="101" t="s">
        <v>41</v>
      </c>
      <c r="B40" s="102">
        <v>3.9992869999999998</v>
      </c>
      <c r="C40" s="102">
        <v>4.2092399999999994</v>
      </c>
      <c r="D40" s="102">
        <v>5.4969200000000003</v>
      </c>
      <c r="E40" s="102">
        <v>5.2806499999999996</v>
      </c>
      <c r="F40" s="102">
        <v>2.5584000000000002</v>
      </c>
      <c r="G40" s="102">
        <v>5.2557700000000001</v>
      </c>
      <c r="H40" s="102">
        <v>4.9769199999999998</v>
      </c>
      <c r="I40" s="102">
        <v>6.8386000000000005</v>
      </c>
      <c r="J40" s="102">
        <v>7.0846599999999995</v>
      </c>
      <c r="K40" s="102">
        <v>6.7717200000000002</v>
      </c>
      <c r="L40" s="102">
        <v>7.1931099999999999</v>
      </c>
      <c r="M40" s="102">
        <v>7.7062499999999998</v>
      </c>
      <c r="N40" s="102">
        <v>67.371527</v>
      </c>
      <c r="O40" s="108"/>
      <c r="P40" s="108"/>
    </row>
    <row r="41" spans="1:16">
      <c r="A41" s="101" t="s">
        <v>42</v>
      </c>
      <c r="B41" s="102">
        <v>1111.415</v>
      </c>
      <c r="C41" s="102">
        <v>1336.0959999999998</v>
      </c>
      <c r="D41" s="102">
        <v>1463.3050000000003</v>
      </c>
      <c r="E41" s="102">
        <v>1106.7559999999999</v>
      </c>
      <c r="F41" s="102">
        <v>1349.0410000000002</v>
      </c>
      <c r="G41" s="102">
        <v>976.10399999999993</v>
      </c>
      <c r="H41" s="102">
        <v>972.13799999999992</v>
      </c>
      <c r="I41" s="102">
        <v>1276.1699999999998</v>
      </c>
      <c r="J41" s="102">
        <v>1523.2360000000003</v>
      </c>
      <c r="K41" s="102">
        <v>1557.2719999999999</v>
      </c>
      <c r="L41" s="102">
        <v>1325.6280000000002</v>
      </c>
      <c r="M41" s="102">
        <v>1534.8299999999997</v>
      </c>
      <c r="N41" s="102">
        <v>15531.991</v>
      </c>
      <c r="O41" s="108"/>
      <c r="P41" s="108"/>
    </row>
    <row r="42" spans="1:16">
      <c r="A42" s="115" t="s">
        <v>43</v>
      </c>
      <c r="B42" s="125">
        <v>1115.4142870000001</v>
      </c>
      <c r="C42" s="125">
        <v>1340.3052399999997</v>
      </c>
      <c r="D42" s="125">
        <v>1468.8019200000003</v>
      </c>
      <c r="E42" s="125">
        <v>1112.0366499999998</v>
      </c>
      <c r="F42" s="125">
        <v>1351.5994000000001</v>
      </c>
      <c r="G42" s="125">
        <v>981.35976999999991</v>
      </c>
      <c r="H42" s="125">
        <v>977.11491999999987</v>
      </c>
      <c r="I42" s="125">
        <v>1283.0085999999999</v>
      </c>
      <c r="J42" s="125">
        <v>1530.3206600000003</v>
      </c>
      <c r="K42" s="125">
        <v>1564.0437199999999</v>
      </c>
      <c r="L42" s="125">
        <v>1332.8211100000001</v>
      </c>
      <c r="M42" s="125">
        <v>1542.5362499999997</v>
      </c>
      <c r="N42" s="125">
        <f>SUM(B42:M42)</f>
        <v>15599.362526999997</v>
      </c>
      <c r="O42" s="108"/>
      <c r="P42" s="108"/>
    </row>
    <row r="43" spans="1:16">
      <c r="A43" s="101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8"/>
      <c r="P43" s="108"/>
    </row>
    <row r="44" spans="1:16">
      <c r="A44" s="115" t="s">
        <v>44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8"/>
      <c r="P44" s="108"/>
    </row>
    <row r="45" spans="1:16">
      <c r="A45" s="101" t="s">
        <v>45</v>
      </c>
      <c r="B45" s="102">
        <v>2023.8603449999998</v>
      </c>
      <c r="C45" s="102">
        <v>2740.2062259999998</v>
      </c>
      <c r="D45" s="102">
        <v>2713.895</v>
      </c>
      <c r="E45" s="102">
        <v>2815.9813690000001</v>
      </c>
      <c r="F45" s="102">
        <v>2787.6938830000004</v>
      </c>
      <c r="G45" s="102">
        <v>2731.0574399999996</v>
      </c>
      <c r="H45" s="102">
        <v>2815.1228390000006</v>
      </c>
      <c r="I45" s="102">
        <v>2734.8300780000004</v>
      </c>
      <c r="J45" s="102">
        <v>2831.4534240000007</v>
      </c>
      <c r="K45" s="102">
        <v>2840.7771380000004</v>
      </c>
      <c r="L45" s="102">
        <v>2578.0395340000005</v>
      </c>
      <c r="M45" s="102">
        <v>2815.466375</v>
      </c>
      <c r="N45" s="102">
        <v>32428.383651</v>
      </c>
      <c r="O45" s="108"/>
      <c r="P45" s="108"/>
    </row>
    <row r="46" spans="1:16">
      <c r="A46" s="101" t="s">
        <v>46</v>
      </c>
      <c r="B46" s="102">
        <v>3020.1559999999999</v>
      </c>
      <c r="C46" s="102">
        <v>3104.0189999999998</v>
      </c>
      <c r="D46" s="102">
        <v>3023.2829999999999</v>
      </c>
      <c r="E46" s="102">
        <v>2490.2049999999999</v>
      </c>
      <c r="F46" s="102">
        <v>3211.0479999999998</v>
      </c>
      <c r="G46" s="102">
        <v>3098.259</v>
      </c>
      <c r="H46" s="102">
        <v>3254.7359999999999</v>
      </c>
      <c r="I46" s="102">
        <v>3143.39</v>
      </c>
      <c r="J46" s="102">
        <v>3249.3389999999999</v>
      </c>
      <c r="K46" s="102">
        <v>3280.6179999999999</v>
      </c>
      <c r="L46" s="102">
        <v>2988.174</v>
      </c>
      <c r="M46" s="102">
        <v>3269.4050000000002</v>
      </c>
      <c r="N46" s="102">
        <v>37132.631999999998</v>
      </c>
      <c r="O46" s="108"/>
      <c r="P46" s="108"/>
    </row>
    <row r="47" spans="1:16">
      <c r="A47" s="115" t="s">
        <v>47</v>
      </c>
      <c r="B47" s="125">
        <v>5044.016345</v>
      </c>
      <c r="C47" s="125">
        <v>5844.2252259999996</v>
      </c>
      <c r="D47" s="125">
        <v>5737.1779999999999</v>
      </c>
      <c r="E47" s="125">
        <v>5306.186369</v>
      </c>
      <c r="F47" s="125">
        <v>5998.7418830000006</v>
      </c>
      <c r="G47" s="125">
        <v>5829.3164399999996</v>
      </c>
      <c r="H47" s="125">
        <v>6069.8588390000004</v>
      </c>
      <c r="I47" s="125">
        <v>5878.2200780000003</v>
      </c>
      <c r="J47" s="125">
        <v>6080.7924240000011</v>
      </c>
      <c r="K47" s="125">
        <v>6121.3951379999999</v>
      </c>
      <c r="L47" s="125">
        <v>5566.2135340000004</v>
      </c>
      <c r="M47" s="125">
        <v>6084.8713750000006</v>
      </c>
      <c r="N47" s="125">
        <f>SUM(B47:M47)</f>
        <v>69561.015650999994</v>
      </c>
      <c r="O47" s="108"/>
      <c r="P47" s="108"/>
    </row>
    <row r="48" spans="1:16">
      <c r="A48" s="101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8"/>
      <c r="P48" s="108"/>
    </row>
    <row r="49" spans="1:16">
      <c r="A49" s="101" t="s">
        <v>48</v>
      </c>
      <c r="B49" s="102">
        <v>1718.4999999999998</v>
      </c>
      <c r="C49" s="102">
        <v>1763.6</v>
      </c>
      <c r="D49" s="102">
        <v>1689.8</v>
      </c>
      <c r="E49" s="102">
        <v>1755.3000000000002</v>
      </c>
      <c r="F49" s="102">
        <v>1758.9</v>
      </c>
      <c r="G49" s="102">
        <v>953.9</v>
      </c>
      <c r="H49" s="102">
        <v>763.69999999999993</v>
      </c>
      <c r="I49" s="102">
        <v>1693.8000000000002</v>
      </c>
      <c r="J49" s="102">
        <v>1780.5</v>
      </c>
      <c r="K49" s="102">
        <v>1781.5</v>
      </c>
      <c r="L49" s="102">
        <v>1670</v>
      </c>
      <c r="M49" s="102">
        <v>1771.57</v>
      </c>
      <c r="N49" s="102">
        <v>19101.07</v>
      </c>
      <c r="O49" s="108"/>
      <c r="P49" s="108"/>
    </row>
    <row r="50" spans="1:16">
      <c r="A50" s="101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P50" s="108"/>
    </row>
    <row r="51" spans="1:16">
      <c r="A51" s="115" t="s">
        <v>49</v>
      </c>
      <c r="B51" s="125">
        <v>17090.028702602998</v>
      </c>
      <c r="C51" s="125">
        <v>19705.712026961999</v>
      </c>
      <c r="D51" s="125">
        <v>19483.3395253206</v>
      </c>
      <c r="E51" s="125">
        <v>18676.946205649001</v>
      </c>
      <c r="F51" s="125">
        <v>19619.181519623002</v>
      </c>
      <c r="G51" s="125">
        <v>18048.856882002998</v>
      </c>
      <c r="H51" s="125">
        <v>18258.47988726</v>
      </c>
      <c r="I51" s="125">
        <v>19527.123716419999</v>
      </c>
      <c r="J51" s="125">
        <v>20152.521474560002</v>
      </c>
      <c r="K51" s="125">
        <v>21416.353314789998</v>
      </c>
      <c r="L51" s="125">
        <v>19504.307841976104</v>
      </c>
      <c r="M51" s="125">
        <v>21382.961486029999</v>
      </c>
      <c r="N51" s="125">
        <v>232865.8125831967</v>
      </c>
      <c r="O51" s="108"/>
      <c r="P51" s="108"/>
    </row>
    <row r="52" spans="1:16">
      <c r="A52" s="115" t="s">
        <v>68</v>
      </c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P52" s="108"/>
    </row>
    <row r="53" spans="1:16">
      <c r="A53" s="260" t="s">
        <v>105</v>
      </c>
      <c r="B53" s="261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62"/>
      <c r="P53" s="108"/>
    </row>
  </sheetData>
  <mergeCells count="5">
    <mergeCell ref="A1:B5"/>
    <mergeCell ref="C1:H1"/>
    <mergeCell ref="I6:N6"/>
    <mergeCell ref="A7:N7"/>
    <mergeCell ref="A53:N53"/>
  </mergeCells>
  <pageMargins left="0.7" right="0.7" top="0.75" bottom="0.75" header="0.3" footer="0.3"/>
  <pageSetup scale="63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7617-DD6E-4E48-9E27-CE71B1F44B7B}">
  <sheetPr>
    <pageSetUpPr fitToPage="1"/>
  </sheetPr>
  <dimension ref="A1:II56"/>
  <sheetViews>
    <sheetView topLeftCell="A34" workbookViewId="0">
      <selection activeCell="B36" sqref="B36"/>
    </sheetView>
  </sheetViews>
  <sheetFormatPr defaultRowHeight="15"/>
  <cols>
    <col min="1" max="1" width="37.140625" style="31" customWidth="1"/>
    <col min="2" max="2" width="9.7109375" style="12" customWidth="1"/>
    <col min="3" max="13" width="9.140625" style="12" customWidth="1"/>
    <col min="14" max="14" width="10.42578125" style="12" bestFit="1" customWidth="1"/>
    <col min="15" max="243" width="9.140625" style="12"/>
  </cols>
  <sheetData>
    <row r="1" spans="1:243" s="100" customFormat="1" ht="20.25" customHeight="1">
      <c r="A1" s="225"/>
      <c r="B1" s="225"/>
      <c r="C1" s="242" t="s">
        <v>0</v>
      </c>
      <c r="D1" s="242"/>
      <c r="E1" s="242"/>
      <c r="F1" s="242"/>
      <c r="G1" s="242"/>
      <c r="H1" s="242"/>
    </row>
    <row r="2" spans="1:243" s="100" customFormat="1">
      <c r="A2" s="225"/>
      <c r="B2" s="225"/>
    </row>
    <row r="3" spans="1:243" s="100" customFormat="1">
      <c r="A3" s="225"/>
      <c r="B3" s="225"/>
    </row>
    <row r="4" spans="1:243" s="100" customFormat="1">
      <c r="A4" s="225"/>
      <c r="B4" s="225"/>
    </row>
    <row r="5" spans="1:243" s="100" customFormat="1">
      <c r="A5" s="225"/>
      <c r="B5" s="225"/>
    </row>
    <row r="6" spans="1:243">
      <c r="A6" s="1"/>
      <c r="C6" s="45"/>
      <c r="E6" s="13"/>
      <c r="F6" s="13"/>
      <c r="G6" s="13"/>
      <c r="H6" s="13"/>
    </row>
    <row r="7" spans="1:243" ht="18.75">
      <c r="A7" s="105" t="s">
        <v>90</v>
      </c>
      <c r="E7" s="13"/>
      <c r="F7" s="13"/>
      <c r="G7" s="14"/>
      <c r="H7" s="14"/>
    </row>
    <row r="8" spans="1:243">
      <c r="A8" s="234" t="s">
        <v>2</v>
      </c>
      <c r="B8" s="234"/>
      <c r="C8" s="234"/>
      <c r="D8" s="234"/>
      <c r="E8" s="234"/>
      <c r="F8" s="234"/>
      <c r="G8" s="234"/>
      <c r="H8" s="234"/>
      <c r="I8" s="234"/>
      <c r="J8" s="234"/>
      <c r="K8" s="234"/>
      <c r="L8" s="234"/>
      <c r="M8" s="234"/>
      <c r="N8" s="234"/>
    </row>
    <row r="9" spans="1:243" ht="18.75">
      <c r="A9" s="244" t="s">
        <v>3</v>
      </c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6"/>
    </row>
    <row r="10" spans="1:243" ht="24.75" customHeight="1">
      <c r="A10" s="104" t="s">
        <v>51</v>
      </c>
      <c r="B10" s="104" t="s">
        <v>52</v>
      </c>
      <c r="C10" s="103" t="s">
        <v>53</v>
      </c>
      <c r="D10" s="103" t="s">
        <v>54</v>
      </c>
      <c r="E10" s="103" t="s">
        <v>55</v>
      </c>
      <c r="F10" s="103" t="s">
        <v>56</v>
      </c>
      <c r="G10" s="103" t="s">
        <v>57</v>
      </c>
      <c r="H10" s="103" t="s">
        <v>58</v>
      </c>
      <c r="I10" s="103" t="s">
        <v>59</v>
      </c>
      <c r="J10" s="103" t="s">
        <v>60</v>
      </c>
      <c r="K10" s="103" t="s">
        <v>61</v>
      </c>
      <c r="L10" s="107" t="s">
        <v>62</v>
      </c>
      <c r="M10" s="107" t="s">
        <v>63</v>
      </c>
      <c r="N10" s="103" t="s">
        <v>64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</row>
    <row r="11" spans="1:243">
      <c r="A11" s="18" t="s">
        <v>17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9"/>
      <c r="M11" s="19"/>
      <c r="N11" s="48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</row>
    <row r="12" spans="1:243">
      <c r="A12" s="22" t="s">
        <v>18</v>
      </c>
      <c r="B12" s="49">
        <v>1126.3699999999999</v>
      </c>
      <c r="C12" s="49">
        <v>1161.8679999999999</v>
      </c>
      <c r="D12" s="49">
        <v>1026.43</v>
      </c>
      <c r="E12" s="49">
        <v>1168.2729999999999</v>
      </c>
      <c r="F12" s="49">
        <v>1111.829</v>
      </c>
      <c r="G12" s="49">
        <v>1028.9929999999999</v>
      </c>
      <c r="H12" s="49">
        <v>1162.115</v>
      </c>
      <c r="I12" s="50">
        <v>1121.748</v>
      </c>
      <c r="J12" s="50">
        <v>1175.2739999999999</v>
      </c>
      <c r="K12" s="50">
        <v>1164.2850000000001</v>
      </c>
      <c r="L12" s="50">
        <v>1037.22</v>
      </c>
      <c r="M12" s="50">
        <v>1001.0309999999999</v>
      </c>
      <c r="N12" s="51">
        <f t="shared" ref="N12:N20" si="0">SUM(B12:M12)</f>
        <v>13285.435999999998</v>
      </c>
    </row>
    <row r="13" spans="1:243">
      <c r="A13" s="22" t="s">
        <v>19</v>
      </c>
      <c r="B13" s="49">
        <v>741.17700000000013</v>
      </c>
      <c r="C13" s="49">
        <v>756.69699999999989</v>
      </c>
      <c r="D13" s="49">
        <v>691.154</v>
      </c>
      <c r="E13" s="49">
        <v>753.78500000000008</v>
      </c>
      <c r="F13" s="49">
        <v>663.38300000000004</v>
      </c>
      <c r="G13" s="49">
        <v>638.57399999999996</v>
      </c>
      <c r="H13" s="49">
        <v>683.70500000000004</v>
      </c>
      <c r="I13" s="50">
        <v>686.94600000000014</v>
      </c>
      <c r="J13" s="50">
        <v>725.43400000000008</v>
      </c>
      <c r="K13" s="50">
        <v>688.87100000000009</v>
      </c>
      <c r="L13" s="50">
        <v>648.20799999999997</v>
      </c>
      <c r="M13" s="50">
        <v>837.49800000000005</v>
      </c>
      <c r="N13" s="51">
        <f t="shared" si="0"/>
        <v>8515.4319999999989</v>
      </c>
    </row>
    <row r="14" spans="1:243">
      <c r="A14" s="22" t="s">
        <v>20</v>
      </c>
      <c r="B14" s="49">
        <v>1225.6960000000001</v>
      </c>
      <c r="C14" s="49">
        <v>840.822</v>
      </c>
      <c r="D14" s="49">
        <v>773.82900000000018</v>
      </c>
      <c r="E14" s="49">
        <v>1213.884</v>
      </c>
      <c r="F14" s="49">
        <v>1314.7830000000001</v>
      </c>
      <c r="G14" s="49">
        <v>1162.5540000000001</v>
      </c>
      <c r="H14" s="49">
        <v>1320.6899999999998</v>
      </c>
      <c r="I14" s="50">
        <v>1279.4259999999999</v>
      </c>
      <c r="J14" s="50">
        <v>1346.818</v>
      </c>
      <c r="K14" s="50">
        <v>1270.1090000000002</v>
      </c>
      <c r="L14" s="50">
        <v>1108.893</v>
      </c>
      <c r="M14" s="50">
        <v>1333.499</v>
      </c>
      <c r="N14" s="51">
        <f t="shared" si="0"/>
        <v>14191.002999999999</v>
      </c>
    </row>
    <row r="15" spans="1:243">
      <c r="A15" s="22" t="s">
        <v>21</v>
      </c>
      <c r="B15" s="49">
        <v>632.28399999999999</v>
      </c>
      <c r="C15" s="49">
        <v>653.89700000000005</v>
      </c>
      <c r="D15" s="49">
        <v>666.01800000000003</v>
      </c>
      <c r="E15" s="49">
        <v>618.798</v>
      </c>
      <c r="F15" s="49">
        <v>649.98300000000006</v>
      </c>
      <c r="G15" s="49">
        <v>622.13300000000004</v>
      </c>
      <c r="H15" s="49">
        <v>613.59699999999998</v>
      </c>
      <c r="I15" s="50">
        <v>669.42700000000002</v>
      </c>
      <c r="J15" s="50">
        <v>667.49</v>
      </c>
      <c r="K15" s="50">
        <v>594.21100000000001</v>
      </c>
      <c r="L15" s="50">
        <v>600.28199999999993</v>
      </c>
      <c r="M15" s="50">
        <v>662.12099999999998</v>
      </c>
      <c r="N15" s="51">
        <f t="shared" si="0"/>
        <v>7650.241</v>
      </c>
    </row>
    <row r="16" spans="1:243">
      <c r="A16" s="22" t="s">
        <v>22</v>
      </c>
      <c r="B16" s="49">
        <v>531.596</v>
      </c>
      <c r="C16" s="49">
        <v>570.54899999999998</v>
      </c>
      <c r="D16" s="49">
        <v>549.10599999999988</v>
      </c>
      <c r="E16" s="49">
        <v>568.59500000000014</v>
      </c>
      <c r="F16" s="49">
        <v>511.92200000000003</v>
      </c>
      <c r="G16" s="49">
        <v>390.53499999999997</v>
      </c>
      <c r="H16" s="49">
        <v>531.14700000000016</v>
      </c>
      <c r="I16" s="50">
        <v>404.10399999999998</v>
      </c>
      <c r="J16" s="50">
        <v>346.52599999999995</v>
      </c>
      <c r="K16" s="50">
        <v>546.76499999999999</v>
      </c>
      <c r="L16" s="50">
        <v>457.60500000000002</v>
      </c>
      <c r="M16" s="50">
        <v>535.47399999999993</v>
      </c>
      <c r="N16" s="51">
        <f t="shared" si="0"/>
        <v>5943.9240000000009</v>
      </c>
    </row>
    <row r="17" spans="1:14">
      <c r="A17" s="22" t="s">
        <v>23</v>
      </c>
      <c r="B17" s="49">
        <v>85.539000000000001</v>
      </c>
      <c r="C17" s="49">
        <v>79.47</v>
      </c>
      <c r="D17" s="49">
        <v>79.427000000000007</v>
      </c>
      <c r="E17" s="49">
        <v>90.665999999999997</v>
      </c>
      <c r="F17" s="49">
        <v>80.144999999999996</v>
      </c>
      <c r="G17" s="49">
        <v>83.766999999999996</v>
      </c>
      <c r="H17" s="49">
        <v>84.528000000000006</v>
      </c>
      <c r="I17" s="50">
        <v>90.918000000000006</v>
      </c>
      <c r="J17" s="50">
        <v>84.397999999999996</v>
      </c>
      <c r="K17" s="50">
        <v>80.954999999999998</v>
      </c>
      <c r="L17" s="50">
        <v>71.174000000000007</v>
      </c>
      <c r="M17" s="50">
        <v>94.807000000000002</v>
      </c>
      <c r="N17" s="51">
        <f t="shared" si="0"/>
        <v>1005.7940000000001</v>
      </c>
    </row>
    <row r="18" spans="1:14">
      <c r="A18" s="22" t="s">
        <v>24</v>
      </c>
      <c r="B18" s="49">
        <v>38.509</v>
      </c>
      <c r="C18" s="49">
        <v>56.57</v>
      </c>
      <c r="D18" s="49">
        <v>54.468000000000004</v>
      </c>
      <c r="E18" s="49">
        <v>56.293999999999997</v>
      </c>
      <c r="F18" s="49">
        <v>46.226999999999997</v>
      </c>
      <c r="G18" s="49">
        <v>51.481999999999999</v>
      </c>
      <c r="H18" s="49">
        <v>52.447000000000003</v>
      </c>
      <c r="I18" s="50">
        <v>55.572000000000003</v>
      </c>
      <c r="J18" s="50">
        <v>54.2</v>
      </c>
      <c r="K18" s="50">
        <v>55.031999999999996</v>
      </c>
      <c r="L18" s="50">
        <v>46.292000000000002</v>
      </c>
      <c r="M18" s="50">
        <v>24.195</v>
      </c>
      <c r="N18" s="51">
        <f t="shared" si="0"/>
        <v>591.28800000000012</v>
      </c>
    </row>
    <row r="19" spans="1:14">
      <c r="A19" s="22" t="s">
        <v>25</v>
      </c>
      <c r="B19" s="49">
        <v>183.98299999999998</v>
      </c>
      <c r="C19" s="49">
        <v>173.762</v>
      </c>
      <c r="D19" s="49">
        <v>166.74799999999999</v>
      </c>
      <c r="E19" s="49">
        <v>193.63000000000002</v>
      </c>
      <c r="F19" s="49">
        <v>193.91300000000001</v>
      </c>
      <c r="G19" s="49">
        <v>193.29</v>
      </c>
      <c r="H19" s="49">
        <v>210.79900000000001</v>
      </c>
      <c r="I19" s="50">
        <v>230.38600000000002</v>
      </c>
      <c r="J19" s="50">
        <v>210.47799999999998</v>
      </c>
      <c r="K19" s="50">
        <v>220.17700000000005</v>
      </c>
      <c r="L19" s="50">
        <v>199.85999999999996</v>
      </c>
      <c r="M19" s="50">
        <v>225.923</v>
      </c>
      <c r="N19" s="51">
        <f t="shared" si="0"/>
        <v>2402.9490000000005</v>
      </c>
    </row>
    <row r="20" spans="1:14">
      <c r="A20" s="18" t="s">
        <v>27</v>
      </c>
      <c r="B20" s="52">
        <f>SUM(B12:B19)</f>
        <v>4565.1540000000005</v>
      </c>
      <c r="C20" s="52">
        <f>SUM(C12:C19)</f>
        <v>4293.6349999999993</v>
      </c>
      <c r="D20" s="52">
        <v>4007.1800000000003</v>
      </c>
      <c r="E20" s="52">
        <v>4663.9250000000002</v>
      </c>
      <c r="F20" s="52">
        <v>4572.1849999999995</v>
      </c>
      <c r="G20" s="52">
        <v>4171.3279999999995</v>
      </c>
      <c r="H20" s="52">
        <v>4659.0280000000002</v>
      </c>
      <c r="I20" s="52">
        <v>4538.527</v>
      </c>
      <c r="J20" s="52">
        <v>4610.6179999999995</v>
      </c>
      <c r="K20" s="52">
        <v>4620.4050000000007</v>
      </c>
      <c r="L20" s="52">
        <v>4169.5339999999997</v>
      </c>
      <c r="M20" s="52">
        <v>4714.5479999999998</v>
      </c>
      <c r="N20" s="53">
        <f t="shared" si="0"/>
        <v>53586.067000000003</v>
      </c>
    </row>
    <row r="21" spans="1:14">
      <c r="A21" s="22"/>
      <c r="B21" s="49"/>
      <c r="C21" s="49"/>
      <c r="D21" s="49"/>
      <c r="E21" s="49"/>
      <c r="F21" s="49"/>
      <c r="G21" s="49"/>
      <c r="H21" s="49"/>
      <c r="I21" s="50"/>
      <c r="J21" s="50"/>
      <c r="K21" s="50"/>
      <c r="L21" s="50"/>
      <c r="M21" s="50"/>
      <c r="N21" s="51"/>
    </row>
    <row r="22" spans="1:14">
      <c r="A22" s="18" t="s">
        <v>28</v>
      </c>
      <c r="B22" s="52"/>
      <c r="C22" s="52"/>
      <c r="D22" s="52"/>
      <c r="E22" s="52"/>
      <c r="F22" s="52"/>
      <c r="G22" s="49"/>
      <c r="H22" s="52"/>
      <c r="I22" s="54"/>
      <c r="J22" s="54"/>
      <c r="K22" s="54"/>
      <c r="L22" s="54"/>
      <c r="M22" s="54"/>
      <c r="N22" s="51"/>
    </row>
    <row r="23" spans="1:14">
      <c r="A23" s="22" t="s">
        <v>29</v>
      </c>
      <c r="B23" s="49">
        <v>561.82051000000001</v>
      </c>
      <c r="C23" s="49">
        <v>311.88350000000003</v>
      </c>
      <c r="D23" s="49">
        <v>523.93399999999997</v>
      </c>
      <c r="E23" s="49">
        <v>687.00299999999993</v>
      </c>
      <c r="F23" s="49">
        <v>674.48</v>
      </c>
      <c r="G23" s="49">
        <v>676.12699999999995</v>
      </c>
      <c r="H23" s="49">
        <v>604.27432399999998</v>
      </c>
      <c r="I23" s="50">
        <v>626.36999999999989</v>
      </c>
      <c r="J23" s="50">
        <v>709.15368699999999</v>
      </c>
      <c r="K23" s="50">
        <v>693.01222200000007</v>
      </c>
      <c r="L23" s="50">
        <v>635.32691299999999</v>
      </c>
      <c r="M23" s="50">
        <v>708.62177800000006</v>
      </c>
      <c r="N23" s="51">
        <f>SUM(B23:M23)</f>
        <v>7412.006934</v>
      </c>
    </row>
    <row r="24" spans="1:14">
      <c r="A24" s="22" t="s">
        <v>30</v>
      </c>
      <c r="B24" s="49">
        <v>650.51221100000009</v>
      </c>
      <c r="C24" s="49">
        <v>581.64817900000003</v>
      </c>
      <c r="D24" s="49">
        <v>666.1</v>
      </c>
      <c r="E24" s="49">
        <v>802</v>
      </c>
      <c r="F24" s="49">
        <v>803.58521300000007</v>
      </c>
      <c r="G24" s="49">
        <v>822.42618500000003</v>
      </c>
      <c r="H24" s="49">
        <v>454.51785999999998</v>
      </c>
      <c r="I24" s="50">
        <v>780.30000000000007</v>
      </c>
      <c r="J24" s="50">
        <v>789.1</v>
      </c>
      <c r="K24" s="50">
        <v>847.39999999999986</v>
      </c>
      <c r="L24" s="50">
        <v>726.444748</v>
      </c>
      <c r="M24" s="50">
        <v>842.60360200000002</v>
      </c>
      <c r="N24" s="51">
        <f>SUM(B24:M24)</f>
        <v>8766.6379980000002</v>
      </c>
    </row>
    <row r="25" spans="1:14">
      <c r="A25" s="22" t="s">
        <v>72</v>
      </c>
      <c r="B25" s="49">
        <v>844.415841</v>
      </c>
      <c r="C25" s="49">
        <v>864.87874499999998</v>
      </c>
      <c r="D25" s="49">
        <v>698</v>
      </c>
      <c r="E25" s="49">
        <v>53.861863000000007</v>
      </c>
      <c r="F25" s="49">
        <v>0</v>
      </c>
      <c r="G25" s="49">
        <v>75.768000000000001</v>
      </c>
      <c r="H25" s="49">
        <v>866</v>
      </c>
      <c r="I25" s="50">
        <v>901.03648799999996</v>
      </c>
      <c r="J25" s="50">
        <v>864.18282499999998</v>
      </c>
      <c r="K25" s="50">
        <v>719.35028899999998</v>
      </c>
      <c r="L25" s="50">
        <v>538.38300000000004</v>
      </c>
      <c r="M25" s="50">
        <v>917.755</v>
      </c>
      <c r="N25" s="51">
        <f>SUM(B25:M25)</f>
        <v>7343.6320509999996</v>
      </c>
    </row>
    <row r="26" spans="1:14">
      <c r="A26" s="18" t="s">
        <v>31</v>
      </c>
      <c r="B26" s="52">
        <f>SUM(B23:B25)</f>
        <v>2056.7485620000002</v>
      </c>
      <c r="C26" s="52">
        <f>SUM(C23:C25)</f>
        <v>1758.4104240000001</v>
      </c>
      <c r="D26" s="52">
        <v>1888.0340000000001</v>
      </c>
      <c r="E26" s="52">
        <v>1542.864863</v>
      </c>
      <c r="F26" s="52">
        <v>1478.0652130000001</v>
      </c>
      <c r="G26" s="52">
        <v>1574.321185</v>
      </c>
      <c r="H26" s="52">
        <v>1924.7921839999999</v>
      </c>
      <c r="I26" s="52">
        <v>2307.7064879999998</v>
      </c>
      <c r="J26" s="52">
        <v>2362.4365119999998</v>
      </c>
      <c r="K26" s="52">
        <v>2259.7625109999999</v>
      </c>
      <c r="L26" s="52">
        <v>1900.154661</v>
      </c>
      <c r="M26" s="52">
        <v>2468.98038</v>
      </c>
      <c r="N26" s="52">
        <f>SUM(N23:N25)</f>
        <v>23522.276983</v>
      </c>
    </row>
    <row r="27" spans="1:14">
      <c r="A27" s="22"/>
      <c r="B27" s="49"/>
      <c r="C27" s="49"/>
      <c r="D27" s="49"/>
      <c r="E27" s="49"/>
      <c r="F27" s="49"/>
      <c r="G27" s="49"/>
      <c r="H27" s="106"/>
      <c r="I27" s="106"/>
      <c r="J27" s="106"/>
      <c r="K27" s="106"/>
      <c r="L27" s="106"/>
      <c r="M27" s="106"/>
      <c r="N27" s="51"/>
    </row>
    <row r="28" spans="1:14">
      <c r="A28" s="18" t="s">
        <v>32</v>
      </c>
      <c r="B28" s="52"/>
      <c r="C28" s="52"/>
      <c r="D28" s="52"/>
      <c r="E28" s="52"/>
      <c r="F28" s="52"/>
      <c r="G28" s="49"/>
      <c r="H28" s="52"/>
      <c r="I28" s="54"/>
      <c r="J28" s="54"/>
      <c r="K28" s="54"/>
      <c r="L28" s="54"/>
      <c r="M28" s="54"/>
      <c r="N28" s="51"/>
    </row>
    <row r="29" spans="1:14">
      <c r="A29" s="22" t="s">
        <v>33</v>
      </c>
      <c r="B29" s="49">
        <v>785.73076100000003</v>
      </c>
      <c r="C29" s="49">
        <v>1026.24848</v>
      </c>
      <c r="D29" s="49">
        <v>1076.384935</v>
      </c>
      <c r="E29" s="49">
        <v>1079.6495159999999</v>
      </c>
      <c r="F29" s="49">
        <v>1139.414205</v>
      </c>
      <c r="G29" s="49">
        <v>1056.7939899999999</v>
      </c>
      <c r="H29" s="49">
        <v>984.89730800000007</v>
      </c>
      <c r="I29" s="50">
        <v>1151.0918970000002</v>
      </c>
      <c r="J29" s="50">
        <v>1152.1751999999999</v>
      </c>
      <c r="K29" s="50">
        <v>1155.2845189999998</v>
      </c>
      <c r="L29" s="50">
        <v>1034.502187</v>
      </c>
      <c r="M29" s="50">
        <v>1178.618504</v>
      </c>
      <c r="N29" s="51">
        <f>SUM(B29:M29)</f>
        <v>12820.791502</v>
      </c>
    </row>
    <row r="30" spans="1:14">
      <c r="A30" s="22" t="s">
        <v>65</v>
      </c>
      <c r="B30" s="49">
        <v>825.048</v>
      </c>
      <c r="C30" s="49">
        <v>728.07400000000007</v>
      </c>
      <c r="D30" s="49">
        <v>923.41815700000006</v>
      </c>
      <c r="E30" s="49">
        <v>936.05820400000005</v>
      </c>
      <c r="F30" s="49">
        <v>945.54099999999994</v>
      </c>
      <c r="G30" s="49">
        <v>912.65508700000009</v>
      </c>
      <c r="H30" s="49">
        <v>907.36632300000019</v>
      </c>
      <c r="I30" s="50">
        <v>838.13877600000001</v>
      </c>
      <c r="J30" s="50">
        <v>667.28544899999997</v>
      </c>
      <c r="K30" s="50">
        <v>921.74102299999981</v>
      </c>
      <c r="L30" s="50">
        <v>838.61322699999982</v>
      </c>
      <c r="M30" s="50">
        <v>911.79024200000003</v>
      </c>
      <c r="N30" s="51">
        <f>SUM(B30:M30)</f>
        <v>10355.729488000001</v>
      </c>
    </row>
    <row r="31" spans="1:14">
      <c r="A31" s="22" t="s">
        <v>66</v>
      </c>
      <c r="B31" s="49">
        <v>210.486594</v>
      </c>
      <c r="C31" s="94">
        <v>259.394024</v>
      </c>
      <c r="D31" s="94">
        <v>254.67599700000002</v>
      </c>
      <c r="E31" s="49">
        <v>247.932669</v>
      </c>
      <c r="F31" s="49">
        <v>250.71503300000001</v>
      </c>
      <c r="G31" s="49">
        <v>228.39793099999997</v>
      </c>
      <c r="H31" s="49">
        <v>248.14657700000001</v>
      </c>
      <c r="I31" s="50">
        <v>226.25671099999997</v>
      </c>
      <c r="J31" s="50">
        <v>226.54064099999999</v>
      </c>
      <c r="K31" s="50">
        <v>223.93958299999997</v>
      </c>
      <c r="L31" s="50">
        <v>216.38166499999997</v>
      </c>
      <c r="M31" s="50">
        <v>183.81303999999997</v>
      </c>
      <c r="N31" s="51">
        <f>SUM(B31:M31)</f>
        <v>2776.6804649999999</v>
      </c>
    </row>
    <row r="32" spans="1:14">
      <c r="A32" s="22" t="s">
        <v>67</v>
      </c>
      <c r="B32" s="49">
        <v>484.95670999999999</v>
      </c>
      <c r="C32" s="94">
        <v>442.92138699999987</v>
      </c>
      <c r="D32" s="94">
        <v>561.45641999999998</v>
      </c>
      <c r="E32" s="49">
        <v>267.03456</v>
      </c>
      <c r="F32" s="49">
        <v>522.54700000000003</v>
      </c>
      <c r="G32" s="49">
        <v>570.49798299999998</v>
      </c>
      <c r="H32" s="49">
        <v>611.53823899999998</v>
      </c>
      <c r="I32" s="50">
        <v>595.24052200000006</v>
      </c>
      <c r="J32" s="50">
        <v>588.08766100000003</v>
      </c>
      <c r="K32" s="50">
        <v>577.58283100000006</v>
      </c>
      <c r="L32" s="50">
        <v>465.26680500000003</v>
      </c>
      <c r="M32" s="50">
        <v>521.44079800000009</v>
      </c>
      <c r="N32" s="51">
        <f>SUM(B32:M32)</f>
        <v>6208.5709160000006</v>
      </c>
    </row>
    <row r="33" spans="1:14">
      <c r="A33" s="18" t="s">
        <v>35</v>
      </c>
      <c r="B33" s="52">
        <v>2306.2220649999999</v>
      </c>
      <c r="C33" s="52">
        <v>2456.6378909999999</v>
      </c>
      <c r="D33" s="52">
        <v>2815.9355089999999</v>
      </c>
      <c r="E33" s="52">
        <v>2530.6749489999997</v>
      </c>
      <c r="F33" s="52">
        <v>2858.2172380000002</v>
      </c>
      <c r="G33" s="52">
        <v>2768.3449909999999</v>
      </c>
      <c r="H33" s="52">
        <v>2751.9484470000002</v>
      </c>
      <c r="I33" s="52">
        <v>2810.7279060000001</v>
      </c>
      <c r="J33" s="52">
        <v>2634.0889509999997</v>
      </c>
      <c r="K33" s="52">
        <v>2878.5479559999994</v>
      </c>
      <c r="L33" s="52">
        <v>2554.763884</v>
      </c>
      <c r="M33" s="52">
        <v>2795.6625840000002</v>
      </c>
      <c r="N33" s="53">
        <f>SUM(B33:M33)</f>
        <v>32161.772370999999</v>
      </c>
    </row>
    <row r="34" spans="1:14">
      <c r="A34" s="18"/>
      <c r="B34" s="52"/>
      <c r="C34" s="52"/>
      <c r="D34" s="52"/>
      <c r="E34" s="52"/>
      <c r="F34" s="52"/>
      <c r="G34" s="49"/>
      <c r="H34" s="52"/>
      <c r="I34" s="54"/>
      <c r="J34" s="54"/>
      <c r="K34" s="54"/>
      <c r="L34" s="54"/>
      <c r="M34" s="54"/>
      <c r="N34" s="51"/>
    </row>
    <row r="35" spans="1:14">
      <c r="A35" s="18" t="s">
        <v>36</v>
      </c>
      <c r="B35" s="52"/>
      <c r="C35" s="52"/>
      <c r="D35" s="52"/>
      <c r="E35" s="52"/>
      <c r="F35" s="52"/>
      <c r="G35" s="49"/>
      <c r="H35" s="52"/>
      <c r="I35" s="54"/>
      <c r="J35" s="54"/>
      <c r="K35" s="54"/>
      <c r="L35" s="54"/>
      <c r="M35" s="54"/>
      <c r="N35" s="51"/>
    </row>
    <row r="36" spans="1:14">
      <c r="A36" s="22" t="s">
        <v>37</v>
      </c>
      <c r="B36" s="49">
        <v>838.46173264000004</v>
      </c>
      <c r="C36" s="49">
        <v>938.60796694999999</v>
      </c>
      <c r="D36" s="49">
        <v>878.79939801</v>
      </c>
      <c r="E36" s="49">
        <v>779.90729600000009</v>
      </c>
      <c r="F36" s="49">
        <v>829.09157199999993</v>
      </c>
      <c r="G36" s="49">
        <v>818.91297129999998</v>
      </c>
      <c r="H36" s="49">
        <v>806.4572253</v>
      </c>
      <c r="I36" s="50">
        <v>849.93309870000007</v>
      </c>
      <c r="J36" s="50">
        <v>913.53986090000001</v>
      </c>
      <c r="K36" s="50">
        <v>903.54571869999995</v>
      </c>
      <c r="L36" s="50">
        <v>798.89846409999996</v>
      </c>
      <c r="M36" s="50">
        <v>891.1254009999999</v>
      </c>
      <c r="N36" s="51">
        <f>SUM(B36:M36)</f>
        <v>10247.2807056</v>
      </c>
    </row>
    <row r="37" spans="1:14">
      <c r="A37" s="22" t="s">
        <v>38</v>
      </c>
      <c r="B37" s="49">
        <v>72.277000000000015</v>
      </c>
      <c r="C37" s="49">
        <v>55.003</v>
      </c>
      <c r="D37" s="49">
        <v>33.273000000000003</v>
      </c>
      <c r="E37" s="49">
        <v>44.542000000000002</v>
      </c>
      <c r="F37" s="49">
        <v>42.730000000000004</v>
      </c>
      <c r="G37" s="49">
        <v>35.298000000000002</v>
      </c>
      <c r="H37" s="49">
        <v>40.569000000000003</v>
      </c>
      <c r="I37" s="50">
        <v>41.850999999999999</v>
      </c>
      <c r="J37" s="50">
        <v>43.104999999999997</v>
      </c>
      <c r="K37" s="50">
        <v>42.620000000000005</v>
      </c>
      <c r="L37" s="50">
        <v>38.257000000000005</v>
      </c>
      <c r="M37" s="50">
        <v>41.743999999999993</v>
      </c>
      <c r="N37" s="51">
        <f>SUM(B37:M37)</f>
        <v>531.26900000000012</v>
      </c>
    </row>
    <row r="38" spans="1:14">
      <c r="A38" s="18" t="s">
        <v>39</v>
      </c>
      <c r="B38" s="52">
        <v>910.73873264000008</v>
      </c>
      <c r="C38" s="52">
        <v>993.61096695000003</v>
      </c>
      <c r="D38" s="52">
        <v>912.07239801000003</v>
      </c>
      <c r="E38" s="52">
        <v>824.44929600000012</v>
      </c>
      <c r="F38" s="52">
        <v>871.82157199999995</v>
      </c>
      <c r="G38" s="52">
        <v>854.21097129999998</v>
      </c>
      <c r="H38" s="52">
        <v>847.02622529999996</v>
      </c>
      <c r="I38" s="52">
        <v>891.78409870000007</v>
      </c>
      <c r="J38" s="52">
        <v>956.64486090000003</v>
      </c>
      <c r="K38" s="52">
        <v>946.16571869999996</v>
      </c>
      <c r="L38" s="52">
        <v>837.15546410000002</v>
      </c>
      <c r="M38" s="52">
        <v>932.86940099999993</v>
      </c>
      <c r="N38" s="53">
        <f>SUM(B38:M38)</f>
        <v>10778.5497056</v>
      </c>
    </row>
    <row r="39" spans="1:14">
      <c r="B39" s="51"/>
      <c r="C39" s="51"/>
      <c r="D39" s="106"/>
      <c r="E39" s="106"/>
      <c r="F39" s="106"/>
      <c r="G39" s="49"/>
      <c r="H39" s="106"/>
      <c r="I39" s="106"/>
      <c r="J39" s="106"/>
      <c r="K39" s="106"/>
      <c r="L39" s="106"/>
      <c r="M39" s="106"/>
      <c r="N39" s="51"/>
    </row>
    <row r="40" spans="1:14">
      <c r="A40" s="95" t="s">
        <v>40</v>
      </c>
      <c r="B40" s="52"/>
      <c r="C40" s="52"/>
      <c r="D40" s="96"/>
      <c r="E40" s="52"/>
      <c r="F40" s="52"/>
      <c r="G40" s="49"/>
      <c r="H40" s="52"/>
      <c r="I40" s="54"/>
      <c r="J40" s="50"/>
      <c r="K40" s="50"/>
      <c r="L40" s="50"/>
      <c r="M40" s="50"/>
      <c r="N40" s="51"/>
    </row>
    <row r="41" spans="1:14">
      <c r="A41" s="97" t="s">
        <v>41</v>
      </c>
      <c r="B41" s="49">
        <v>4.4305900000000005</v>
      </c>
      <c r="C41" s="49">
        <v>2.847</v>
      </c>
      <c r="D41" s="98">
        <v>4.5896999999999997</v>
      </c>
      <c r="E41" s="49">
        <v>4.782</v>
      </c>
      <c r="F41" s="49">
        <v>5.26</v>
      </c>
      <c r="G41" s="49">
        <v>4.03878</v>
      </c>
      <c r="H41" s="49">
        <v>2.6116199999999998</v>
      </c>
      <c r="I41" s="50">
        <v>5.2399300000000002</v>
      </c>
      <c r="J41" s="50">
        <v>5.1322200000000002</v>
      </c>
      <c r="K41" s="50">
        <v>3.24762</v>
      </c>
      <c r="L41" s="50">
        <v>4.1354799999999994</v>
      </c>
      <c r="M41" s="50">
        <v>4.3367599999999999</v>
      </c>
      <c r="N41" s="51">
        <f>SUM(B41:M41)</f>
        <v>50.651699999999991</v>
      </c>
    </row>
    <row r="42" spans="1:14">
      <c r="A42" s="22" t="s">
        <v>42</v>
      </c>
      <c r="B42" s="49">
        <v>1098.729</v>
      </c>
      <c r="C42" s="49">
        <v>1025.9940000000001</v>
      </c>
      <c r="D42" s="49">
        <v>1116.636</v>
      </c>
      <c r="E42" s="49">
        <v>1113</v>
      </c>
      <c r="F42" s="49">
        <v>1190.8320000000003</v>
      </c>
      <c r="G42" s="49">
        <v>1166.116</v>
      </c>
      <c r="H42" s="49">
        <v>1203.7549999999999</v>
      </c>
      <c r="I42" s="50">
        <v>1251.6289999999999</v>
      </c>
      <c r="J42" s="50">
        <v>1430.8620100000001</v>
      </c>
      <c r="K42" s="50">
        <v>1354.5810000000001</v>
      </c>
      <c r="L42" s="50">
        <v>1193.9670000000001</v>
      </c>
      <c r="M42" s="50">
        <v>1485.9319999999998</v>
      </c>
      <c r="N42" s="51">
        <f>SUM(B42:M42)</f>
        <v>14632.033010000003</v>
      </c>
    </row>
    <row r="43" spans="1:14">
      <c r="A43" s="18" t="s">
        <v>43</v>
      </c>
      <c r="B43" s="52">
        <v>1103.15959</v>
      </c>
      <c r="C43" s="52">
        <v>1028.8410000000001</v>
      </c>
      <c r="D43" s="52">
        <v>1121.2257</v>
      </c>
      <c r="E43" s="52">
        <v>1117.7819999999999</v>
      </c>
      <c r="F43" s="52">
        <v>1196.0920000000003</v>
      </c>
      <c r="G43" s="52">
        <v>1170.1547800000001</v>
      </c>
      <c r="H43" s="52">
        <v>1206.3666199999998</v>
      </c>
      <c r="I43" s="52">
        <v>1256.8689299999999</v>
      </c>
      <c r="J43" s="52">
        <v>1435.99423</v>
      </c>
      <c r="K43" s="52">
        <v>1357.8286200000002</v>
      </c>
      <c r="L43" s="52">
        <v>1198.10248</v>
      </c>
      <c r="M43" s="52">
        <v>1490.2687599999997</v>
      </c>
      <c r="N43" s="53">
        <f>SUM(B43:M43)</f>
        <v>14682.68471</v>
      </c>
    </row>
    <row r="44" spans="1:14">
      <c r="A44" s="22"/>
      <c r="B44" s="49"/>
      <c r="C44" s="49"/>
      <c r="D44" s="49"/>
      <c r="E44" s="49"/>
      <c r="F44" s="49"/>
      <c r="G44" s="49"/>
      <c r="H44" s="49"/>
      <c r="I44" s="50"/>
      <c r="J44" s="50"/>
      <c r="K44" s="50"/>
      <c r="L44" s="50"/>
      <c r="M44" s="50"/>
      <c r="N44" s="53"/>
    </row>
    <row r="45" spans="1:14">
      <c r="A45" s="18" t="s">
        <v>44</v>
      </c>
      <c r="B45" s="52"/>
      <c r="C45" s="52"/>
      <c r="D45" s="52"/>
      <c r="E45" s="52"/>
      <c r="F45" s="52"/>
      <c r="G45" s="49"/>
      <c r="H45" s="52"/>
      <c r="I45" s="54"/>
      <c r="J45" s="54"/>
      <c r="K45" s="54"/>
      <c r="L45" s="54"/>
      <c r="M45" s="54"/>
      <c r="N45" s="53"/>
    </row>
    <row r="46" spans="1:14">
      <c r="A46" s="22" t="s">
        <v>45</v>
      </c>
      <c r="B46" s="52">
        <v>1864.076</v>
      </c>
      <c r="C46" s="52">
        <v>2758.308</v>
      </c>
      <c r="D46" s="52">
        <v>2603</v>
      </c>
      <c r="E46" s="52">
        <v>2629.5279999999998</v>
      </c>
      <c r="F46" s="52">
        <v>2748.9416000000006</v>
      </c>
      <c r="G46" s="49">
        <v>2681.2730000000001</v>
      </c>
      <c r="H46" s="52">
        <v>2791.8209999999999</v>
      </c>
      <c r="I46" s="54">
        <v>2703.614</v>
      </c>
      <c r="J46" s="54">
        <v>2801.0069999999996</v>
      </c>
      <c r="K46" s="54">
        <v>2802.1170000000002</v>
      </c>
      <c r="L46" s="54">
        <v>2498.9740000000002</v>
      </c>
      <c r="M46" s="54">
        <v>1984.7349999999997</v>
      </c>
      <c r="N46" s="51">
        <f>SUM(B46:M46)</f>
        <v>30867.3946</v>
      </c>
    </row>
    <row r="47" spans="1:14">
      <c r="A47" s="22" t="s">
        <v>46</v>
      </c>
      <c r="B47" s="49">
        <v>3115</v>
      </c>
      <c r="C47" s="49">
        <v>3244</v>
      </c>
      <c r="D47" s="49">
        <v>3100</v>
      </c>
      <c r="E47" s="49">
        <v>3162</v>
      </c>
      <c r="F47" s="49">
        <v>3108.9050000000002</v>
      </c>
      <c r="G47" s="49">
        <v>3057.3220000000001</v>
      </c>
      <c r="H47" s="49">
        <v>3194.9940000000001</v>
      </c>
      <c r="I47" s="50">
        <v>3003.9949999999999</v>
      </c>
      <c r="J47" s="50">
        <v>3164.3130000000001</v>
      </c>
      <c r="K47" s="50">
        <v>3041.0830000000001</v>
      </c>
      <c r="L47" s="50">
        <v>2827.6880000000001</v>
      </c>
      <c r="M47" s="50">
        <v>3154.8519999999999</v>
      </c>
      <c r="N47" s="51">
        <f>SUM(B47:M47)</f>
        <v>37174.151999999995</v>
      </c>
    </row>
    <row r="48" spans="1:14">
      <c r="A48" s="18" t="s">
        <v>47</v>
      </c>
      <c r="B48" s="52">
        <f>SUM(B46:B47)</f>
        <v>4979.076</v>
      </c>
      <c r="C48" s="52">
        <f>SUM(C46:C47)</f>
        <v>6002.308</v>
      </c>
      <c r="D48" s="52">
        <v>5703</v>
      </c>
      <c r="E48" s="52">
        <v>5791</v>
      </c>
      <c r="F48" s="52">
        <v>5857.9050000000007</v>
      </c>
      <c r="G48" s="52">
        <v>5738.5945260000008</v>
      </c>
      <c r="H48" s="52">
        <v>5986.8153320000001</v>
      </c>
      <c r="I48" s="52">
        <v>5707.6085730000004</v>
      </c>
      <c r="J48" s="52">
        <v>5965.3136809999996</v>
      </c>
      <c r="K48" s="52">
        <v>5843.1995040000002</v>
      </c>
      <c r="L48" s="52">
        <v>5326.6622889999999</v>
      </c>
      <c r="M48" s="52">
        <v>5139.5870020000002</v>
      </c>
      <c r="N48" s="52">
        <f>SUM(N46:N47)</f>
        <v>68041.546600000001</v>
      </c>
    </row>
    <row r="49" spans="1:14">
      <c r="A49" s="22"/>
      <c r="B49" s="49"/>
      <c r="C49" s="49"/>
      <c r="D49" s="49"/>
      <c r="E49" s="49"/>
      <c r="F49" s="49"/>
      <c r="G49" s="49"/>
      <c r="H49" s="49"/>
      <c r="I49" s="50"/>
      <c r="J49" s="50"/>
      <c r="K49" s="50"/>
      <c r="L49" s="50"/>
      <c r="M49" s="50"/>
      <c r="N49" s="53"/>
    </row>
    <row r="50" spans="1:14">
      <c r="A50" s="22" t="s">
        <v>48</v>
      </c>
      <c r="B50" s="52">
        <v>1694.1000000000001</v>
      </c>
      <c r="C50" s="52">
        <v>1739.7</v>
      </c>
      <c r="D50" s="52">
        <v>1707.1</v>
      </c>
      <c r="E50" s="52">
        <v>1657.9</v>
      </c>
      <c r="F50" s="52">
        <v>1701.3000000000002</v>
      </c>
      <c r="G50" s="52">
        <v>1680.8999999999999</v>
      </c>
      <c r="H50" s="52">
        <v>1736.1000000000001</v>
      </c>
      <c r="I50" s="54">
        <v>1694.6</v>
      </c>
      <c r="J50" s="54">
        <v>1758.8999999999999</v>
      </c>
      <c r="K50" s="54">
        <v>1768.3999999999999</v>
      </c>
      <c r="L50" s="54">
        <v>1598.2999999999997</v>
      </c>
      <c r="M50" s="54">
        <v>1753.8000000000002</v>
      </c>
      <c r="N50" s="53">
        <f>SUM(B50:M50)</f>
        <v>20491.099999999999</v>
      </c>
    </row>
    <row r="51" spans="1:14">
      <c r="A51" s="22"/>
      <c r="B51" s="49"/>
      <c r="C51" s="49"/>
      <c r="D51" s="49"/>
      <c r="E51" s="49"/>
      <c r="F51" s="49"/>
      <c r="G51" s="49"/>
      <c r="H51" s="49"/>
      <c r="I51" s="50"/>
      <c r="J51" s="50"/>
      <c r="K51" s="50"/>
      <c r="L51" s="50"/>
      <c r="M51" s="50"/>
      <c r="N51" s="53"/>
    </row>
    <row r="52" spans="1:14">
      <c r="A52" s="18" t="s">
        <v>49</v>
      </c>
      <c r="B52" s="52">
        <v>17615.198949639998</v>
      </c>
      <c r="C52" s="52">
        <v>18273.143281950001</v>
      </c>
      <c r="D52" s="52">
        <v>18154.547607009998</v>
      </c>
      <c r="E52" s="52">
        <v>18128.596108000002</v>
      </c>
      <c r="F52" s="52">
        <v>18535.586023</v>
      </c>
      <c r="G52" s="52">
        <v>17957.854453300002</v>
      </c>
      <c r="H52" s="52">
        <v>19112.0768083</v>
      </c>
      <c r="I52" s="52">
        <v>19207.8229957</v>
      </c>
      <c r="J52" s="52">
        <v>19723.996234899998</v>
      </c>
      <c r="K52" s="52">
        <v>19674.309309700002</v>
      </c>
      <c r="L52" s="52">
        <v>17584.672778100001</v>
      </c>
      <c r="M52" s="52">
        <v>19295.716126999996</v>
      </c>
      <c r="N52" s="52">
        <v>223263.99736959999</v>
      </c>
    </row>
    <row r="53" spans="1:14">
      <c r="A53" s="37" t="s">
        <v>68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</row>
    <row r="54" spans="1:14">
      <c r="A54" s="39" t="s">
        <v>69</v>
      </c>
      <c r="B54" s="99"/>
      <c r="C54" s="40"/>
      <c r="D54" s="40"/>
      <c r="E54" s="41"/>
      <c r="F54" s="41"/>
      <c r="G54" s="41"/>
      <c r="H54" s="42"/>
      <c r="I54" s="43"/>
      <c r="J54" s="43"/>
      <c r="K54" s="42"/>
      <c r="L54" s="42"/>
      <c r="M54" s="42"/>
      <c r="N54" s="44"/>
    </row>
    <row r="55" spans="1:14">
      <c r="B55" s="45"/>
      <c r="C55" s="45"/>
      <c r="D55" s="45"/>
      <c r="E55" s="45"/>
      <c r="F55" s="45"/>
      <c r="G55" s="45"/>
      <c r="H55" s="45"/>
      <c r="N55" s="45"/>
    </row>
    <row r="56" spans="1:14">
      <c r="N56" s="45"/>
    </row>
  </sheetData>
  <mergeCells count="4">
    <mergeCell ref="A8:N8"/>
    <mergeCell ref="A1:B5"/>
    <mergeCell ref="C1:H1"/>
    <mergeCell ref="A9:N9"/>
  </mergeCells>
  <pageMargins left="0" right="0" top="0.75" bottom="0.75" header="0.3" footer="0.3"/>
  <pageSetup scale="62"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7A09-4F4A-462F-9094-E6A91E00C968}">
  <sheetPr>
    <pageSetUpPr fitToPage="1"/>
  </sheetPr>
  <dimension ref="A1:N54"/>
  <sheetViews>
    <sheetView showGridLines="0" workbookViewId="0">
      <pane xSplit="1" ySplit="6" topLeftCell="B31" activePane="bottomRight" state="frozen"/>
      <selection pane="topRight" activeCell="B1" sqref="B1"/>
      <selection pane="bottomLeft" activeCell="A7" sqref="A7"/>
      <selection pane="bottomRight" activeCell="N48" sqref="N48"/>
    </sheetView>
  </sheetViews>
  <sheetFormatPr defaultRowHeight="12"/>
  <cols>
    <col min="1" max="1" width="41.7109375" style="31" customWidth="1"/>
    <col min="2" max="2" width="9.7109375" style="12" customWidth="1"/>
    <col min="3" max="13" width="9.140625" style="12" customWidth="1"/>
    <col min="14" max="16384" width="9.140625" style="12"/>
  </cols>
  <sheetData>
    <row r="1" spans="1:14">
      <c r="A1" s="1" t="s">
        <v>0</v>
      </c>
    </row>
    <row r="2" spans="1:14" ht="12.75">
      <c r="A2" s="1"/>
      <c r="E2" s="13"/>
      <c r="F2" s="13"/>
      <c r="G2" s="13"/>
      <c r="H2" s="13"/>
    </row>
    <row r="3" spans="1:14" ht="12.75">
      <c r="A3" s="1" t="s">
        <v>95</v>
      </c>
      <c r="E3" s="13"/>
      <c r="F3" s="13"/>
      <c r="G3" s="14"/>
      <c r="H3" s="14"/>
    </row>
    <row r="4" spans="1:14">
      <c r="A4" s="234" t="s">
        <v>2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</row>
    <row r="5" spans="1:14">
      <c r="A5" s="263" t="s">
        <v>3</v>
      </c>
      <c r="B5" s="263"/>
      <c r="C5" s="263"/>
    </row>
    <row r="6" spans="1:14" s="17" customFormat="1">
      <c r="A6" s="15" t="s">
        <v>51</v>
      </c>
      <c r="B6" s="16" t="s">
        <v>52</v>
      </c>
      <c r="C6" s="16" t="s">
        <v>53</v>
      </c>
      <c r="D6" s="16" t="s">
        <v>54</v>
      </c>
      <c r="E6" s="16" t="s">
        <v>55</v>
      </c>
      <c r="F6" s="16" t="s">
        <v>56</v>
      </c>
      <c r="G6" s="16" t="s">
        <v>57</v>
      </c>
      <c r="H6" s="16" t="s">
        <v>58</v>
      </c>
      <c r="I6" s="16" t="s">
        <v>59</v>
      </c>
      <c r="J6" s="16" t="s">
        <v>60</v>
      </c>
      <c r="K6" s="16" t="s">
        <v>61</v>
      </c>
      <c r="L6" s="16" t="s">
        <v>62</v>
      </c>
      <c r="M6" s="16" t="s">
        <v>63</v>
      </c>
      <c r="N6" s="16" t="s">
        <v>64</v>
      </c>
    </row>
    <row r="7" spans="1:14" s="21" customFormat="1">
      <c r="A7" s="18" t="s">
        <v>17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9"/>
      <c r="M7" s="19"/>
      <c r="N7" s="48"/>
    </row>
    <row r="8" spans="1:14">
      <c r="A8" s="22" t="s">
        <v>18</v>
      </c>
      <c r="B8" s="49">
        <v>853.90899999999999</v>
      </c>
      <c r="C8" s="49">
        <v>1222.404</v>
      </c>
      <c r="D8" s="49">
        <v>1203.703</v>
      </c>
      <c r="E8" s="49">
        <v>843.62</v>
      </c>
      <c r="F8" s="49">
        <v>1035.3869999999999</v>
      </c>
      <c r="G8" s="49">
        <v>917.76</v>
      </c>
      <c r="H8" s="49">
        <v>1182.8470000000002</v>
      </c>
      <c r="I8" s="50">
        <v>1155.7089999999998</v>
      </c>
      <c r="J8" s="50">
        <v>1227.7309999999998</v>
      </c>
      <c r="K8" s="50">
        <v>1233.0030000000002</v>
      </c>
      <c r="L8" s="50">
        <v>910.029</v>
      </c>
      <c r="M8" s="50">
        <v>1173.9749999999999</v>
      </c>
      <c r="N8" s="51">
        <f>SUM(B8:M8)</f>
        <v>12960.077000000001</v>
      </c>
    </row>
    <row r="9" spans="1:14">
      <c r="A9" s="22" t="s">
        <v>19</v>
      </c>
      <c r="B9" s="49">
        <v>696.91799999999989</v>
      </c>
      <c r="C9" s="49">
        <v>732.69600000000003</v>
      </c>
      <c r="D9" s="49">
        <v>666.26400000000001</v>
      </c>
      <c r="E9" s="49">
        <v>702.13599999999985</v>
      </c>
      <c r="F9" s="49">
        <v>626.096</v>
      </c>
      <c r="G9" s="49">
        <v>589.66300000000001</v>
      </c>
      <c r="H9" s="49">
        <v>0</v>
      </c>
      <c r="I9" s="50">
        <v>151.15199999999999</v>
      </c>
      <c r="J9" s="50">
        <v>589.72800000000007</v>
      </c>
      <c r="K9" s="50">
        <v>588.96300000000008</v>
      </c>
      <c r="L9" s="50">
        <v>520.17999999999995</v>
      </c>
      <c r="M9" s="50">
        <v>776.87800000000004</v>
      </c>
      <c r="N9" s="51">
        <f t="shared" ref="N9:N15" si="0">SUM(B9:M9)</f>
        <v>6640.674</v>
      </c>
    </row>
    <row r="10" spans="1:14">
      <c r="A10" s="22" t="s">
        <v>20</v>
      </c>
      <c r="B10" s="49">
        <v>1126.7739999999999</v>
      </c>
      <c r="C10" s="49">
        <v>1388.8110000000001</v>
      </c>
      <c r="D10" s="49">
        <v>983.601</v>
      </c>
      <c r="E10" s="49">
        <v>1165.107</v>
      </c>
      <c r="F10" s="49">
        <v>1371.152</v>
      </c>
      <c r="G10" s="49">
        <v>1301.681</v>
      </c>
      <c r="H10" s="49">
        <v>1368.998</v>
      </c>
      <c r="I10" s="50">
        <v>1335.18</v>
      </c>
      <c r="J10" s="50">
        <v>1329.1280000000002</v>
      </c>
      <c r="K10" s="50">
        <v>1340.404</v>
      </c>
      <c r="L10" s="50">
        <v>1112.76</v>
      </c>
      <c r="M10" s="50">
        <v>1274.1179999999999</v>
      </c>
      <c r="N10" s="51">
        <f>SUM(B10:M10)</f>
        <v>15097.714000000002</v>
      </c>
    </row>
    <row r="11" spans="1:14">
      <c r="A11" s="22" t="s">
        <v>21</v>
      </c>
      <c r="B11" s="49">
        <v>650.94100000000003</v>
      </c>
      <c r="C11" s="49">
        <v>676.23799999999994</v>
      </c>
      <c r="D11" s="49">
        <v>553.37599999999998</v>
      </c>
      <c r="E11" s="49">
        <v>708.51599999999996</v>
      </c>
      <c r="F11" s="49">
        <v>687.97299999999996</v>
      </c>
      <c r="G11" s="49">
        <v>691.57499999999993</v>
      </c>
      <c r="H11" s="49">
        <v>623.55100000000004</v>
      </c>
      <c r="I11" s="50">
        <v>637.19799999999998</v>
      </c>
      <c r="J11" s="50">
        <v>690.93500000000006</v>
      </c>
      <c r="K11" s="50">
        <v>670.06</v>
      </c>
      <c r="L11" s="50">
        <v>639.95000000000005</v>
      </c>
      <c r="M11" s="50">
        <v>721.78899999999999</v>
      </c>
      <c r="N11" s="51">
        <f t="shared" si="0"/>
        <v>7952.1020000000008</v>
      </c>
    </row>
    <row r="12" spans="1:14">
      <c r="A12" s="22" t="s">
        <v>22</v>
      </c>
      <c r="B12" s="49">
        <v>464.05599999999998</v>
      </c>
      <c r="C12" s="49">
        <v>446.52500000000003</v>
      </c>
      <c r="D12" s="49">
        <v>552.07100000000003</v>
      </c>
      <c r="E12" s="49">
        <v>549.52</v>
      </c>
      <c r="F12" s="49">
        <v>563.03400000000011</v>
      </c>
      <c r="G12" s="49">
        <v>549.4849999999999</v>
      </c>
      <c r="H12" s="49">
        <v>572.42399999999998</v>
      </c>
      <c r="I12" s="50">
        <v>561.31600000000003</v>
      </c>
      <c r="J12" s="50">
        <v>581.64800000000002</v>
      </c>
      <c r="K12" s="50">
        <v>561.52599999999995</v>
      </c>
      <c r="L12" s="50">
        <v>497.09999999999997</v>
      </c>
      <c r="M12" s="50">
        <v>579.30899999999986</v>
      </c>
      <c r="N12" s="51">
        <f t="shared" si="0"/>
        <v>6478.0140000000001</v>
      </c>
    </row>
    <row r="13" spans="1:14">
      <c r="A13" s="22" t="s">
        <v>23</v>
      </c>
      <c r="B13" s="49">
        <v>83.754999999999995</v>
      </c>
      <c r="C13" s="49">
        <v>86.442999999999998</v>
      </c>
      <c r="D13" s="49">
        <v>89.061999999999998</v>
      </c>
      <c r="E13" s="49">
        <v>83.463999999999999</v>
      </c>
      <c r="F13" s="49">
        <v>77.188000000000002</v>
      </c>
      <c r="G13" s="49">
        <v>86.546000000000006</v>
      </c>
      <c r="H13" s="49">
        <v>94.622</v>
      </c>
      <c r="I13" s="50">
        <v>90.192999999999998</v>
      </c>
      <c r="J13" s="50">
        <v>90.962999999999994</v>
      </c>
      <c r="K13" s="50">
        <v>91.433999999999997</v>
      </c>
      <c r="L13" s="50">
        <v>80.649000000000001</v>
      </c>
      <c r="M13" s="50">
        <v>64.715000000000003</v>
      </c>
      <c r="N13" s="51">
        <f t="shared" si="0"/>
        <v>1019.0339999999999</v>
      </c>
    </row>
    <row r="14" spans="1:14">
      <c r="A14" s="22" t="s">
        <v>24</v>
      </c>
      <c r="B14" s="49">
        <v>53.188000000000002</v>
      </c>
      <c r="C14" s="49">
        <v>45.356000000000002</v>
      </c>
      <c r="D14" s="49">
        <v>50.506999999999998</v>
      </c>
      <c r="E14" s="49">
        <v>59.73</v>
      </c>
      <c r="F14" s="49">
        <v>59.542999999999999</v>
      </c>
      <c r="G14" s="49">
        <v>57.939</v>
      </c>
      <c r="H14" s="49">
        <v>58.110999999999997</v>
      </c>
      <c r="I14" s="50">
        <v>55.798000000000002</v>
      </c>
      <c r="J14" s="50">
        <v>55.856999999999999</v>
      </c>
      <c r="K14" s="50">
        <v>56.465000000000003</v>
      </c>
      <c r="L14" s="50">
        <v>47.965000000000003</v>
      </c>
      <c r="M14" s="50">
        <v>50.773000000000003</v>
      </c>
      <c r="N14" s="51">
        <f t="shared" si="0"/>
        <v>651.23200000000008</v>
      </c>
    </row>
    <row r="15" spans="1:14">
      <c r="A15" s="22" t="s">
        <v>25</v>
      </c>
      <c r="B15" s="49">
        <v>170.733</v>
      </c>
      <c r="C15" s="49">
        <v>211.67699999999996</v>
      </c>
      <c r="D15" s="49">
        <v>121.327</v>
      </c>
      <c r="E15" s="49">
        <v>232.57799999999997</v>
      </c>
      <c r="F15" s="49">
        <v>198.63800000000003</v>
      </c>
      <c r="G15" s="49">
        <v>185.26999999999998</v>
      </c>
      <c r="H15" s="49">
        <v>218.01400000000001</v>
      </c>
      <c r="I15" s="50">
        <v>205.20599999999999</v>
      </c>
      <c r="J15" s="50">
        <v>198.30499999999998</v>
      </c>
      <c r="K15" s="50">
        <v>192.52799999999999</v>
      </c>
      <c r="L15" s="50">
        <v>194.875</v>
      </c>
      <c r="M15" s="50">
        <v>198.36299999999997</v>
      </c>
      <c r="N15" s="51">
        <f t="shared" si="0"/>
        <v>2327.5139999999997</v>
      </c>
    </row>
    <row r="16" spans="1:14">
      <c r="A16" s="18" t="s">
        <v>27</v>
      </c>
      <c r="B16" s="52">
        <v>4100.2739999999994</v>
      </c>
      <c r="C16" s="52">
        <v>4810.1499999999996</v>
      </c>
      <c r="D16" s="52">
        <v>4219.9110000000001</v>
      </c>
      <c r="E16" s="52">
        <v>4344.6710000000003</v>
      </c>
      <c r="F16" s="52">
        <v>4619.0109999999995</v>
      </c>
      <c r="G16" s="52">
        <v>4379.9189999999999</v>
      </c>
      <c r="H16" s="52">
        <v>4118.567</v>
      </c>
      <c r="I16" s="52">
        <v>4191.7520000000004</v>
      </c>
      <c r="J16" s="52">
        <v>4764.2950000000001</v>
      </c>
      <c r="K16" s="52">
        <v>4734.3830000000007</v>
      </c>
      <c r="L16" s="52">
        <v>4003.5079999999998</v>
      </c>
      <c r="M16" s="52">
        <v>4839.920000000001</v>
      </c>
      <c r="N16" s="53">
        <f>SUM(B16:M16)</f>
        <v>53126.361000000004</v>
      </c>
    </row>
    <row r="17" spans="1:14">
      <c r="A17" s="22"/>
      <c r="B17" s="49"/>
      <c r="C17" s="49"/>
      <c r="D17" s="49"/>
      <c r="E17" s="49"/>
      <c r="F17" s="49"/>
      <c r="G17" s="49"/>
      <c r="H17" s="49"/>
      <c r="I17" s="50"/>
      <c r="J17" s="50"/>
      <c r="K17" s="50"/>
      <c r="L17" s="50"/>
      <c r="M17" s="50"/>
      <c r="N17" s="51"/>
    </row>
    <row r="18" spans="1:14">
      <c r="A18" s="18" t="s">
        <v>28</v>
      </c>
      <c r="B18" s="52"/>
      <c r="C18" s="52"/>
      <c r="D18" s="52"/>
      <c r="E18" s="52"/>
      <c r="F18" s="52"/>
      <c r="G18" s="49"/>
      <c r="H18" s="52"/>
      <c r="I18" s="54"/>
      <c r="J18" s="54"/>
      <c r="K18" s="54"/>
      <c r="L18" s="54"/>
      <c r="M18" s="54"/>
      <c r="N18" s="51"/>
    </row>
    <row r="19" spans="1:14">
      <c r="A19" s="22" t="s">
        <v>29</v>
      </c>
      <c r="B19" s="49">
        <v>590.54999999999995</v>
      </c>
      <c r="C19" s="49">
        <v>475.42999999999995</v>
      </c>
      <c r="D19" s="49">
        <v>667.82399999999996</v>
      </c>
      <c r="E19" s="49">
        <v>695.97992799999997</v>
      </c>
      <c r="F19" s="49">
        <v>661.447</v>
      </c>
      <c r="G19" s="49">
        <v>674.07399999999996</v>
      </c>
      <c r="H19" s="49">
        <v>685.24200000000008</v>
      </c>
      <c r="I19" s="50">
        <v>636.96500000000003</v>
      </c>
      <c r="J19" s="50">
        <v>643.0924</v>
      </c>
      <c r="K19" s="50">
        <v>636.61670000000004</v>
      </c>
      <c r="L19" s="50">
        <v>640.74</v>
      </c>
      <c r="M19" s="50">
        <v>729.11439999999993</v>
      </c>
      <c r="N19" s="51">
        <f>SUM(B19:M19)</f>
        <v>7737.0754280000001</v>
      </c>
    </row>
    <row r="20" spans="1:14">
      <c r="A20" s="22" t="s">
        <v>30</v>
      </c>
      <c r="B20" s="49">
        <v>707.99547299999995</v>
      </c>
      <c r="C20" s="49">
        <v>525.12608899999998</v>
      </c>
      <c r="D20" s="49">
        <v>490.88794200000001</v>
      </c>
      <c r="E20" s="49">
        <v>727.483971</v>
      </c>
      <c r="F20" s="49">
        <v>758.46664999999996</v>
      </c>
      <c r="G20" s="49">
        <v>369.30426500000004</v>
      </c>
      <c r="H20" s="49">
        <v>581.93116499999996</v>
      </c>
      <c r="I20" s="50">
        <v>549.74319200000002</v>
      </c>
      <c r="J20" s="50">
        <v>729.32266400000015</v>
      </c>
      <c r="K20" s="50">
        <v>801.32512200000008</v>
      </c>
      <c r="L20" s="50">
        <v>721.23244099999999</v>
      </c>
      <c r="M20" s="50">
        <v>813.09119799999996</v>
      </c>
      <c r="N20" s="51">
        <f>SUM(B20:M20)</f>
        <v>7775.9101720000008</v>
      </c>
    </row>
    <row r="21" spans="1:14">
      <c r="A21" s="22" t="s">
        <v>72</v>
      </c>
      <c r="B21" s="49">
        <v>559.61</v>
      </c>
      <c r="C21" s="49">
        <v>838.79100000000005</v>
      </c>
      <c r="D21" s="49">
        <v>788.65897100000007</v>
      </c>
      <c r="E21" s="49">
        <v>854.32</v>
      </c>
      <c r="F21" s="49">
        <v>663.19540000000006</v>
      </c>
      <c r="G21" s="49">
        <v>732.966364</v>
      </c>
      <c r="H21" s="49">
        <v>721.5208100000001</v>
      </c>
      <c r="I21" s="50">
        <v>890.221</v>
      </c>
      <c r="J21" s="50">
        <v>722.24716000000001</v>
      </c>
      <c r="K21" s="50">
        <v>867.24314099999992</v>
      </c>
      <c r="L21" s="50">
        <v>775.90724999999998</v>
      </c>
      <c r="M21" s="50">
        <v>856.81997000000001</v>
      </c>
      <c r="N21" s="51">
        <f>SUM(B21:M21)</f>
        <v>9271.5010660000007</v>
      </c>
    </row>
    <row r="22" spans="1:14">
      <c r="A22" s="18" t="s">
        <v>31</v>
      </c>
      <c r="B22" s="52">
        <v>1858.1554729999998</v>
      </c>
      <c r="C22" s="52">
        <v>1839.3470889999999</v>
      </c>
      <c r="D22" s="52">
        <v>1947.370913</v>
      </c>
      <c r="E22" s="52">
        <v>2277.783899</v>
      </c>
      <c r="F22" s="52">
        <v>2083.10905</v>
      </c>
      <c r="G22" s="52">
        <v>1776.3446290000002</v>
      </c>
      <c r="H22" s="52">
        <v>1988.6939750000001</v>
      </c>
      <c r="I22" s="52">
        <v>2076.9291920000001</v>
      </c>
      <c r="J22" s="52">
        <v>2094.6622240000002</v>
      </c>
      <c r="K22" s="52">
        <v>2305.1849630000002</v>
      </c>
      <c r="L22" s="52">
        <v>2137.8796910000001</v>
      </c>
      <c r="M22" s="52">
        <v>2399.025568</v>
      </c>
      <c r="N22" s="52">
        <f>SUM(N19:N21)</f>
        <v>24784.486666000001</v>
      </c>
    </row>
    <row r="23" spans="1:14">
      <c r="A23" s="22"/>
      <c r="B23" s="49"/>
      <c r="C23" s="49"/>
      <c r="D23" s="49"/>
      <c r="E23" s="49"/>
      <c r="F23" s="49"/>
      <c r="G23" s="49"/>
      <c r="H23" s="55"/>
      <c r="I23" s="55"/>
      <c r="J23" s="55"/>
      <c r="K23" s="55"/>
      <c r="L23" s="55"/>
      <c r="M23" s="55"/>
      <c r="N23" s="51"/>
    </row>
    <row r="24" spans="1:14">
      <c r="A24" s="18" t="s">
        <v>32</v>
      </c>
      <c r="B24" s="52"/>
      <c r="C24" s="52"/>
      <c r="D24" s="52"/>
      <c r="E24" s="52"/>
      <c r="F24" s="52"/>
      <c r="G24" s="49"/>
      <c r="H24" s="52"/>
      <c r="I24" s="54"/>
      <c r="J24" s="54"/>
      <c r="K24" s="54"/>
      <c r="L24" s="54"/>
      <c r="M24" s="54"/>
      <c r="N24" s="51"/>
    </row>
    <row r="25" spans="1:14">
      <c r="A25" s="22" t="s">
        <v>33</v>
      </c>
      <c r="B25" s="49">
        <v>705.61800000000005</v>
      </c>
      <c r="C25" s="49">
        <v>1123.558</v>
      </c>
      <c r="D25" s="49">
        <v>1113.6790000000001</v>
      </c>
      <c r="E25" s="49">
        <v>1096.21678</v>
      </c>
      <c r="F25" s="49">
        <v>1117.605579</v>
      </c>
      <c r="G25" s="49">
        <v>1038.0050000000001</v>
      </c>
      <c r="H25" s="49">
        <v>1181.633251</v>
      </c>
      <c r="I25" s="50">
        <v>1113.6089999999999</v>
      </c>
      <c r="J25" s="50">
        <v>1001.5376860000001</v>
      </c>
      <c r="K25" s="50">
        <v>967.92671499999994</v>
      </c>
      <c r="L25" s="50">
        <v>1066.349868</v>
      </c>
      <c r="M25" s="50">
        <v>1158.132083</v>
      </c>
      <c r="N25" s="51">
        <f>SUM(B25:M25)</f>
        <v>12683.870961999999</v>
      </c>
    </row>
    <row r="26" spans="1:14">
      <c r="A26" s="22" t="s">
        <v>65</v>
      </c>
      <c r="B26" s="49">
        <v>891.08176400000002</v>
      </c>
      <c r="C26" s="49">
        <v>908.02288999999996</v>
      </c>
      <c r="D26" s="49">
        <v>880.27514000000019</v>
      </c>
      <c r="E26" s="49">
        <v>903.78179</v>
      </c>
      <c r="F26" s="49">
        <v>910.04346699999985</v>
      </c>
      <c r="G26" s="49">
        <v>877.07287500000007</v>
      </c>
      <c r="H26" s="49">
        <v>922.17846299999997</v>
      </c>
      <c r="I26" s="50">
        <v>695.60884899999996</v>
      </c>
      <c r="J26" s="50">
        <v>595.39245300000005</v>
      </c>
      <c r="K26" s="50">
        <v>935.80564800000002</v>
      </c>
      <c r="L26" s="50">
        <v>836.77299399999993</v>
      </c>
      <c r="M26" s="50">
        <v>929.31896199999994</v>
      </c>
      <c r="N26" s="51">
        <f>SUM(B26:M26)</f>
        <v>10285.355294999999</v>
      </c>
    </row>
    <row r="27" spans="1:14">
      <c r="A27" s="22" t="s">
        <v>66</v>
      </c>
      <c r="B27" s="49">
        <v>222.31100000000001</v>
      </c>
      <c r="C27" s="56">
        <v>238.28899999999999</v>
      </c>
      <c r="D27" s="56">
        <v>0</v>
      </c>
      <c r="E27" s="57">
        <v>228.63200000000001</v>
      </c>
      <c r="F27" s="57">
        <v>261.90699999999998</v>
      </c>
      <c r="G27" s="49">
        <v>251.86500000000001</v>
      </c>
      <c r="H27" s="57">
        <v>252.06899999999999</v>
      </c>
      <c r="I27" s="58">
        <v>257.33699999999999</v>
      </c>
      <c r="J27" s="50">
        <v>261.18700000000001</v>
      </c>
      <c r="K27" s="50">
        <v>231.637</v>
      </c>
      <c r="L27" s="50">
        <v>224.304</v>
      </c>
      <c r="M27" s="50">
        <v>183.398</v>
      </c>
      <c r="N27" s="51">
        <f>SUM(B27:M27)</f>
        <v>2612.9360000000001</v>
      </c>
    </row>
    <row r="28" spans="1:14">
      <c r="A28" s="22" t="s">
        <v>67</v>
      </c>
      <c r="B28" s="49">
        <v>537.31249200000002</v>
      </c>
      <c r="C28" s="56">
        <v>369.931782</v>
      </c>
      <c r="D28" s="56">
        <v>537.75860299999999</v>
      </c>
      <c r="E28" s="57">
        <v>433.98538999999994</v>
      </c>
      <c r="F28" s="57">
        <v>540.091365</v>
      </c>
      <c r="G28" s="49">
        <v>490.68832899999995</v>
      </c>
      <c r="H28" s="57">
        <v>276.72534500000006</v>
      </c>
      <c r="I28" s="58">
        <v>542.95892000000003</v>
      </c>
      <c r="J28" s="50">
        <v>564.94603000000006</v>
      </c>
      <c r="K28" s="50">
        <v>321.026273</v>
      </c>
      <c r="L28" s="50">
        <v>412.54119800000001</v>
      </c>
      <c r="M28" s="50">
        <v>421.94679799999994</v>
      </c>
      <c r="N28" s="51">
        <f>SUM(B28:M28)</f>
        <v>5449.9125250000006</v>
      </c>
    </row>
    <row r="29" spans="1:14">
      <c r="A29" s="18" t="s">
        <v>35</v>
      </c>
      <c r="B29" s="52">
        <v>2356.3232559999997</v>
      </c>
      <c r="C29" s="52">
        <v>2639.8016720000001</v>
      </c>
      <c r="D29" s="52">
        <v>2531.712743</v>
      </c>
      <c r="E29" s="52">
        <v>2662.6159599999996</v>
      </c>
      <c r="F29" s="52">
        <v>2829.6474109999999</v>
      </c>
      <c r="G29" s="52">
        <v>2657.6312040000003</v>
      </c>
      <c r="H29" s="52">
        <v>2632.6060589999997</v>
      </c>
      <c r="I29" s="52">
        <v>2609.5137690000001</v>
      </c>
      <c r="J29" s="52">
        <v>2423.063169</v>
      </c>
      <c r="K29" s="52">
        <v>2456.3956360000002</v>
      </c>
      <c r="L29" s="52">
        <v>2539.9680599999997</v>
      </c>
      <c r="M29" s="52">
        <v>2692.7958429999999</v>
      </c>
      <c r="N29" s="53">
        <f>SUM(B29:M29)</f>
        <v>31032.074782</v>
      </c>
    </row>
    <row r="30" spans="1:14">
      <c r="A30" s="18"/>
      <c r="B30" s="52"/>
      <c r="C30" s="52"/>
      <c r="D30" s="52"/>
      <c r="E30" s="52"/>
      <c r="F30" s="52"/>
      <c r="G30" s="49"/>
      <c r="H30" s="52"/>
      <c r="I30" s="54"/>
      <c r="J30" s="54"/>
      <c r="K30" s="54"/>
      <c r="L30" s="54"/>
      <c r="M30" s="54"/>
      <c r="N30" s="51"/>
    </row>
    <row r="31" spans="1:14">
      <c r="A31" s="18" t="s">
        <v>36</v>
      </c>
      <c r="B31" s="52"/>
      <c r="C31" s="52"/>
      <c r="D31" s="52"/>
      <c r="E31" s="52"/>
      <c r="F31" s="52"/>
      <c r="G31" s="49"/>
      <c r="H31" s="52"/>
      <c r="I31" s="54"/>
      <c r="J31" s="54"/>
      <c r="K31" s="54"/>
      <c r="L31" s="54"/>
      <c r="M31" s="54"/>
      <c r="N31" s="51"/>
    </row>
    <row r="32" spans="1:14">
      <c r="A32" s="22" t="s">
        <v>37</v>
      </c>
      <c r="B32" s="49">
        <v>919.97711871000001</v>
      </c>
      <c r="C32" s="49">
        <v>936.01055287000008</v>
      </c>
      <c r="D32" s="49">
        <v>874.47188098000004</v>
      </c>
      <c r="E32" s="49">
        <v>881.09566179999979</v>
      </c>
      <c r="F32" s="49">
        <v>921.82641240000021</v>
      </c>
      <c r="G32" s="49">
        <v>850.76174354</v>
      </c>
      <c r="H32" s="49">
        <v>622.92027346000009</v>
      </c>
      <c r="I32" s="50">
        <v>713.20318500000008</v>
      </c>
      <c r="J32" s="50">
        <v>706.65210032000005</v>
      </c>
      <c r="K32" s="50">
        <v>825.75835458000006</v>
      </c>
      <c r="L32" s="50">
        <v>862.45060089999993</v>
      </c>
      <c r="M32" s="50">
        <v>952.9096624</v>
      </c>
      <c r="N32" s="51">
        <f>SUM(B32:M32)</f>
        <v>10068.03754696</v>
      </c>
    </row>
    <row r="33" spans="1:14">
      <c r="A33" s="22" t="s">
        <v>38</v>
      </c>
      <c r="B33" s="49">
        <v>24.296999999999997</v>
      </c>
      <c r="C33" s="49">
        <v>33.461999999999996</v>
      </c>
      <c r="D33" s="49">
        <v>39.798999999999999</v>
      </c>
      <c r="E33" s="49">
        <v>36.551000000000002</v>
      </c>
      <c r="F33" s="49">
        <v>47.483000000000004</v>
      </c>
      <c r="G33" s="49">
        <v>45.022999999999996</v>
      </c>
      <c r="H33" s="49">
        <v>52.293999999999997</v>
      </c>
      <c r="I33" s="50">
        <v>52.06</v>
      </c>
      <c r="J33" s="50">
        <v>59.329000000000001</v>
      </c>
      <c r="K33" s="50">
        <v>59.222999999999992</v>
      </c>
      <c r="L33" s="50">
        <v>60.816000000000003</v>
      </c>
      <c r="M33" s="50">
        <v>48.615000000000002</v>
      </c>
      <c r="N33" s="51">
        <f>SUM(B33:M33)</f>
        <v>558.952</v>
      </c>
    </row>
    <row r="34" spans="1:14">
      <c r="A34" s="18" t="s">
        <v>39</v>
      </c>
      <c r="B34" s="52">
        <v>944.27411871000004</v>
      </c>
      <c r="C34" s="52">
        <v>969.47255287000007</v>
      </c>
      <c r="D34" s="52">
        <v>914.27088098000002</v>
      </c>
      <c r="E34" s="52">
        <v>917.64666179999983</v>
      </c>
      <c r="F34" s="52">
        <v>969.30941240000016</v>
      </c>
      <c r="G34" s="49">
        <v>895.78474354000002</v>
      </c>
      <c r="H34" s="52">
        <v>675.21427346000007</v>
      </c>
      <c r="I34" s="52">
        <v>765.26318500000002</v>
      </c>
      <c r="J34" s="52">
        <v>765.98110032</v>
      </c>
      <c r="K34" s="52">
        <v>884.98135458000002</v>
      </c>
      <c r="L34" s="52">
        <v>923.26660089999996</v>
      </c>
      <c r="M34" s="52">
        <v>1001.5246624</v>
      </c>
      <c r="N34" s="53">
        <f>SUM(B34:M34)</f>
        <v>10626.98954696</v>
      </c>
    </row>
    <row r="35" spans="1:14">
      <c r="B35" s="55"/>
      <c r="C35" s="55"/>
      <c r="D35" s="55"/>
      <c r="E35" s="55"/>
      <c r="F35" s="55"/>
      <c r="G35" s="49"/>
      <c r="H35" s="55"/>
      <c r="I35" s="55"/>
      <c r="J35" s="55"/>
      <c r="K35" s="55"/>
      <c r="L35" s="55"/>
      <c r="M35" s="55"/>
      <c r="N35" s="68"/>
    </row>
    <row r="36" spans="1:14">
      <c r="A36" s="18" t="s">
        <v>40</v>
      </c>
      <c r="B36" s="52"/>
      <c r="C36" s="52"/>
      <c r="D36" s="52"/>
      <c r="E36" s="52"/>
      <c r="F36" s="52"/>
      <c r="G36" s="49"/>
      <c r="H36" s="52"/>
      <c r="I36" s="54"/>
      <c r="J36" s="50"/>
      <c r="K36" s="50"/>
      <c r="L36" s="50"/>
      <c r="M36" s="50"/>
      <c r="N36" s="51"/>
    </row>
    <row r="37" spans="1:14">
      <c r="A37" s="22" t="s">
        <v>41</v>
      </c>
      <c r="B37" s="49">
        <v>4.9054700000000002</v>
      </c>
      <c r="C37" s="49">
        <v>5.1977799999999998</v>
      </c>
      <c r="D37" s="49">
        <v>4.2729999999999997</v>
      </c>
      <c r="E37" s="49">
        <v>3.173</v>
      </c>
      <c r="F37" s="49">
        <v>4.66</v>
      </c>
      <c r="G37" s="49">
        <v>5.9883500000000005</v>
      </c>
      <c r="H37" s="49">
        <v>7.2548000000000004</v>
      </c>
      <c r="I37" s="50">
        <v>6.7228199999999996</v>
      </c>
      <c r="J37" s="50">
        <v>7.4474999999999998</v>
      </c>
      <c r="K37" s="50">
        <v>7.5210100000000004</v>
      </c>
      <c r="L37" s="50">
        <v>5.3454899999999999</v>
      </c>
      <c r="M37" s="50">
        <v>2.7370100000000002</v>
      </c>
      <c r="N37" s="51">
        <f>SUM(B37:M37)</f>
        <v>65.226230000000001</v>
      </c>
    </row>
    <row r="38" spans="1:14">
      <c r="A38" s="22" t="s">
        <v>42</v>
      </c>
      <c r="B38" s="49">
        <v>1234.5820000000001</v>
      </c>
      <c r="C38" s="49">
        <v>967.5390000000001</v>
      </c>
      <c r="D38" s="49">
        <v>1121.8969999999999</v>
      </c>
      <c r="E38" s="49">
        <v>1172.713</v>
      </c>
      <c r="F38" s="49">
        <v>1164.8770000000002</v>
      </c>
      <c r="G38" s="49">
        <v>1327.769</v>
      </c>
      <c r="H38" s="49">
        <v>1308.2650000000001</v>
      </c>
      <c r="I38" s="50">
        <v>1080.836</v>
      </c>
      <c r="J38" s="50">
        <v>1367.3229999999999</v>
      </c>
      <c r="K38" s="50">
        <v>1222.6050000000002</v>
      </c>
      <c r="L38" s="50">
        <v>1203.5639999999999</v>
      </c>
      <c r="M38" s="50">
        <v>1416.5529999999999</v>
      </c>
      <c r="N38" s="51">
        <f>SUM(B38:M38)</f>
        <v>14588.522999999999</v>
      </c>
    </row>
    <row r="39" spans="1:14">
      <c r="A39" s="18" t="s">
        <v>43</v>
      </c>
      <c r="B39" s="52">
        <v>1239.48747</v>
      </c>
      <c r="C39" s="52">
        <v>972.73678000000007</v>
      </c>
      <c r="D39" s="52">
        <v>1126.1699999999998</v>
      </c>
      <c r="E39" s="52">
        <v>1175.886</v>
      </c>
      <c r="F39" s="52">
        <v>1169.5370000000003</v>
      </c>
      <c r="G39" s="52">
        <v>1333.7573500000001</v>
      </c>
      <c r="H39" s="52">
        <v>1315.5201</v>
      </c>
      <c r="I39" s="52">
        <v>1087.55882</v>
      </c>
      <c r="J39" s="52">
        <v>1374.7704999999999</v>
      </c>
      <c r="K39" s="52">
        <v>1230.1260100000002</v>
      </c>
      <c r="L39" s="52">
        <v>1208.9094899999998</v>
      </c>
      <c r="M39" s="52">
        <v>1419.2900099999999</v>
      </c>
      <c r="N39" s="53">
        <f>SUM(B39:M39)</f>
        <v>14653.749530000001</v>
      </c>
    </row>
    <row r="40" spans="1:14">
      <c r="A40" s="22"/>
      <c r="B40" s="49"/>
      <c r="C40" s="49"/>
      <c r="D40" s="49"/>
      <c r="E40" s="49"/>
      <c r="F40" s="49"/>
      <c r="G40" s="49"/>
      <c r="H40" s="49"/>
      <c r="I40" s="50"/>
      <c r="J40" s="50"/>
      <c r="K40" s="50"/>
      <c r="L40" s="50"/>
      <c r="M40" s="50"/>
      <c r="N40" s="53"/>
    </row>
    <row r="41" spans="1:14">
      <c r="A41" s="18" t="s">
        <v>44</v>
      </c>
      <c r="B41" s="52"/>
      <c r="C41" s="52"/>
      <c r="D41" s="52"/>
      <c r="E41" s="52"/>
      <c r="F41" s="52"/>
      <c r="G41" s="49"/>
      <c r="H41" s="52"/>
      <c r="I41" s="54"/>
      <c r="J41" s="54"/>
      <c r="K41" s="54"/>
      <c r="L41" s="54"/>
      <c r="M41" s="54"/>
      <c r="N41" s="53"/>
    </row>
    <row r="42" spans="1:14">
      <c r="A42" s="22" t="s">
        <v>45</v>
      </c>
      <c r="B42" s="49">
        <v>2652.2304979999994</v>
      </c>
      <c r="C42" s="49">
        <v>2478.958071</v>
      </c>
      <c r="D42" s="49">
        <v>2666.1607209999997</v>
      </c>
      <c r="E42" s="49">
        <v>2777.6044489999999</v>
      </c>
      <c r="F42" s="49">
        <v>2760.4564630000004</v>
      </c>
      <c r="G42" s="49">
        <v>2639.3223199999998</v>
      </c>
      <c r="H42" s="49">
        <v>2658.7941800000003</v>
      </c>
      <c r="I42" s="50">
        <v>2597.7727440000003</v>
      </c>
      <c r="J42" s="50">
        <v>2210.2239319999999</v>
      </c>
      <c r="K42" s="50">
        <v>2191.5537350000004</v>
      </c>
      <c r="L42" s="50">
        <v>2451.3161500000001</v>
      </c>
      <c r="M42" s="50">
        <v>2220.4295499999998</v>
      </c>
      <c r="N42" s="51">
        <f>SUM(B42:M42)</f>
        <v>30304.822813000002</v>
      </c>
    </row>
    <row r="43" spans="1:14">
      <c r="A43" s="22" t="s">
        <v>46</v>
      </c>
      <c r="B43" s="49">
        <v>3112.62</v>
      </c>
      <c r="C43" s="49">
        <v>3151.14</v>
      </c>
      <c r="D43" s="49">
        <v>3050.11</v>
      </c>
      <c r="E43" s="49">
        <v>3231.38</v>
      </c>
      <c r="F43" s="49">
        <v>3207.29</v>
      </c>
      <c r="G43" s="49">
        <v>3044.94</v>
      </c>
      <c r="H43" s="49">
        <v>3206.24</v>
      </c>
      <c r="I43" s="50">
        <v>3081.46</v>
      </c>
      <c r="J43" s="50">
        <v>3215.38</v>
      </c>
      <c r="K43" s="50">
        <v>3235.88</v>
      </c>
      <c r="L43" s="50">
        <v>2925.21</v>
      </c>
      <c r="M43" s="50">
        <v>3260.21</v>
      </c>
      <c r="N43" s="51">
        <f>SUM(B43:M43)</f>
        <v>37721.86</v>
      </c>
    </row>
    <row r="44" spans="1:14">
      <c r="A44" s="18" t="s">
        <v>47</v>
      </c>
      <c r="B44" s="52">
        <f>SUM(B42:B43)</f>
        <v>5764.8504979999998</v>
      </c>
      <c r="C44" s="52">
        <f t="shared" ref="C44:N44" si="1">SUM(C42:C43)</f>
        <v>5630.0980710000003</v>
      </c>
      <c r="D44" s="52">
        <f t="shared" si="1"/>
        <v>5716.2707209999999</v>
      </c>
      <c r="E44" s="52">
        <f t="shared" si="1"/>
        <v>6008.9844489999996</v>
      </c>
      <c r="F44" s="52">
        <f t="shared" si="1"/>
        <v>5967.7464630000004</v>
      </c>
      <c r="G44" s="52">
        <f t="shared" si="1"/>
        <v>5684.2623199999998</v>
      </c>
      <c r="H44" s="52">
        <f t="shared" si="1"/>
        <v>5865.0341800000006</v>
      </c>
      <c r="I44" s="52">
        <f t="shared" si="1"/>
        <v>5679.2327440000008</v>
      </c>
      <c r="J44" s="52">
        <f t="shared" si="1"/>
        <v>5425.603932</v>
      </c>
      <c r="K44" s="52">
        <f t="shared" si="1"/>
        <v>5427.4337350000005</v>
      </c>
      <c r="L44" s="52">
        <f t="shared" si="1"/>
        <v>5376.5261499999997</v>
      </c>
      <c r="M44" s="52">
        <f t="shared" si="1"/>
        <v>5480.6395499999999</v>
      </c>
      <c r="N44" s="52">
        <f t="shared" si="1"/>
        <v>68026.682813000007</v>
      </c>
    </row>
    <row r="45" spans="1:14">
      <c r="A45" s="22"/>
      <c r="B45" s="49"/>
      <c r="C45" s="49"/>
      <c r="D45" s="49"/>
      <c r="E45" s="49"/>
      <c r="F45" s="49"/>
      <c r="G45" s="49"/>
      <c r="H45" s="49"/>
      <c r="I45" s="50"/>
      <c r="J45" s="50"/>
      <c r="K45" s="50"/>
      <c r="L45" s="50"/>
      <c r="M45" s="50"/>
      <c r="N45" s="53"/>
    </row>
    <row r="46" spans="1:14">
      <c r="A46" s="22" t="s">
        <v>48</v>
      </c>
      <c r="B46" s="52">
        <v>1697.8000000000002</v>
      </c>
      <c r="C46" s="52">
        <v>1752.4</v>
      </c>
      <c r="D46" s="52">
        <v>1686.5</v>
      </c>
      <c r="E46" s="52">
        <v>1734.5070000000001</v>
      </c>
      <c r="F46" s="52">
        <v>1743.1999999999998</v>
      </c>
      <c r="G46" s="52">
        <v>1709.7999999999997</v>
      </c>
      <c r="H46" s="52">
        <v>1747.5</v>
      </c>
      <c r="I46" s="54">
        <v>1338.7</v>
      </c>
      <c r="J46" s="54">
        <v>1742.6</v>
      </c>
      <c r="K46" s="54">
        <v>1742.788</v>
      </c>
      <c r="L46" s="54">
        <v>1571.3000000000002</v>
      </c>
      <c r="M46" s="54">
        <v>1735.2407569575801</v>
      </c>
      <c r="N46" s="53">
        <f>SUM(B46:M46)</f>
        <v>20202.335756957578</v>
      </c>
    </row>
    <row r="47" spans="1:14">
      <c r="A47" s="22"/>
      <c r="B47" s="49"/>
      <c r="C47" s="49"/>
      <c r="D47" s="49"/>
      <c r="E47" s="49"/>
      <c r="F47" s="49"/>
      <c r="G47" s="49"/>
      <c r="H47" s="49"/>
      <c r="I47" s="50"/>
      <c r="J47" s="50"/>
      <c r="K47" s="50"/>
      <c r="L47" s="50"/>
      <c r="M47" s="50"/>
      <c r="N47" s="53"/>
    </row>
    <row r="48" spans="1:14">
      <c r="A48" s="18" t="s">
        <v>49</v>
      </c>
      <c r="B48" s="52">
        <f>+B16+B22+B29+B34+B39+B44+B46</f>
        <v>17961.164815709999</v>
      </c>
      <c r="C48" s="52">
        <f t="shared" ref="C48:M48" si="2">+C16+C22+C29+C34+C39+C44+C46</f>
        <v>18614.006164869999</v>
      </c>
      <c r="D48" s="52">
        <f t="shared" si="2"/>
        <v>18142.20625798</v>
      </c>
      <c r="E48" s="52">
        <f t="shared" si="2"/>
        <v>19122.0949698</v>
      </c>
      <c r="F48" s="52">
        <f t="shared" si="2"/>
        <v>19381.560336400002</v>
      </c>
      <c r="G48" s="52">
        <f t="shared" si="2"/>
        <v>18437.499246539999</v>
      </c>
      <c r="H48" s="52">
        <f t="shared" si="2"/>
        <v>18343.135587459998</v>
      </c>
      <c r="I48" s="52">
        <f t="shared" si="2"/>
        <v>17748.949710000004</v>
      </c>
      <c r="J48" s="52">
        <f t="shared" si="2"/>
        <v>18590.975925319995</v>
      </c>
      <c r="K48" s="52">
        <f t="shared" si="2"/>
        <v>18781.292698580004</v>
      </c>
      <c r="L48" s="52">
        <f t="shared" si="2"/>
        <v>17761.3579919</v>
      </c>
      <c r="M48" s="52">
        <f t="shared" si="2"/>
        <v>19568.43639035758</v>
      </c>
      <c r="N48" s="52">
        <f>+N16+N22+N29+N34+N39+N44+N46</f>
        <v>222452.6800949176</v>
      </c>
    </row>
    <row r="49" spans="1:14">
      <c r="A49" s="37" t="s">
        <v>68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</row>
    <row r="50" spans="1:14" ht="12.75">
      <c r="A50" s="61" t="s">
        <v>87</v>
      </c>
      <c r="B50" s="62"/>
      <c r="C50" s="63"/>
      <c r="D50" s="63"/>
      <c r="E50" s="64"/>
      <c r="F50" s="64"/>
      <c r="G50" s="64"/>
      <c r="H50" s="65"/>
      <c r="I50" s="66"/>
      <c r="J50" s="66"/>
      <c r="K50" s="65"/>
      <c r="L50" s="65"/>
      <c r="M50" s="65"/>
      <c r="N50" s="67"/>
    </row>
    <row r="51" spans="1:14" ht="12" customHeight="1">
      <c r="A51" s="264"/>
      <c r="B51" s="265"/>
      <c r="C51" s="265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6"/>
    </row>
    <row r="52" spans="1:14">
      <c r="B52" s="45"/>
      <c r="C52" s="45"/>
      <c r="D52" s="45"/>
      <c r="E52" s="45"/>
      <c r="F52" s="45"/>
      <c r="G52" s="45"/>
      <c r="H52" s="45"/>
      <c r="N52" s="45"/>
    </row>
    <row r="53" spans="1:14">
      <c r="G53" s="45"/>
    </row>
    <row r="54" spans="1:14">
      <c r="G54" s="45"/>
    </row>
  </sheetData>
  <mergeCells count="3">
    <mergeCell ref="A4:N4"/>
    <mergeCell ref="A5:C5"/>
    <mergeCell ref="A51:N51"/>
  </mergeCells>
  <printOptions horizontalCentered="1"/>
  <pageMargins left="0.7" right="0.7" top="0.75" bottom="0.75" header="0.3" footer="0.3"/>
  <pageSetup paperSize="9" scale="82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12E0-A7FF-4C07-B415-7A670293DD7A}">
  <sheetPr>
    <pageSetUpPr fitToPage="1"/>
  </sheetPr>
  <dimension ref="A1:P51"/>
  <sheetViews>
    <sheetView showGridLines="0" workbookViewId="0">
      <pane xSplit="1" ySplit="6" topLeftCell="E7" activePane="bottomRight" state="frozen"/>
      <selection pane="topRight" activeCell="B1" sqref="B1"/>
      <selection pane="bottomLeft" activeCell="A7" sqref="A7"/>
      <selection pane="bottomRight" activeCell="P47" sqref="P47"/>
    </sheetView>
  </sheetViews>
  <sheetFormatPr defaultRowHeight="12"/>
  <cols>
    <col min="1" max="1" width="41.7109375" style="31" customWidth="1"/>
    <col min="2" max="2" width="9.7109375" style="12" customWidth="1"/>
    <col min="3" max="13" width="9.140625" style="12" customWidth="1"/>
    <col min="14" max="14" width="10.42578125" style="12" bestFit="1" customWidth="1"/>
    <col min="15" max="16384" width="9.140625" style="12"/>
  </cols>
  <sheetData>
    <row r="1" spans="1:15">
      <c r="A1" s="1" t="s">
        <v>0</v>
      </c>
    </row>
    <row r="2" spans="1:15" ht="12.75">
      <c r="A2" s="1"/>
      <c r="E2" s="13"/>
      <c r="F2" s="13"/>
      <c r="G2" s="13"/>
      <c r="H2" s="13"/>
    </row>
    <row r="3" spans="1:15" ht="12.75">
      <c r="A3" s="1" t="s">
        <v>71</v>
      </c>
      <c r="E3" s="13"/>
      <c r="F3" s="13"/>
      <c r="G3" s="14"/>
      <c r="H3" s="14"/>
    </row>
    <row r="4" spans="1:15">
      <c r="A4" s="234" t="s">
        <v>2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</row>
    <row r="5" spans="1:15">
      <c r="A5" s="263" t="s">
        <v>3</v>
      </c>
      <c r="B5" s="263"/>
      <c r="C5" s="263"/>
    </row>
    <row r="6" spans="1:15" s="17" customFormat="1">
      <c r="A6" s="15" t="s">
        <v>51</v>
      </c>
      <c r="B6" s="16" t="s">
        <v>52</v>
      </c>
      <c r="C6" s="16" t="s">
        <v>53</v>
      </c>
      <c r="D6" s="16" t="s">
        <v>54</v>
      </c>
      <c r="E6" s="16" t="s">
        <v>55</v>
      </c>
      <c r="F6" s="16" t="s">
        <v>56</v>
      </c>
      <c r="G6" s="16" t="s">
        <v>57</v>
      </c>
      <c r="H6" s="16" t="s">
        <v>58</v>
      </c>
      <c r="I6" s="16" t="s">
        <v>59</v>
      </c>
      <c r="J6" s="16" t="s">
        <v>60</v>
      </c>
      <c r="K6" s="16" t="s">
        <v>61</v>
      </c>
      <c r="L6" s="16" t="s">
        <v>62</v>
      </c>
      <c r="M6" s="16" t="s">
        <v>63</v>
      </c>
      <c r="N6" s="16" t="s">
        <v>64</v>
      </c>
    </row>
    <row r="7" spans="1:15" s="21" customFormat="1">
      <c r="A7" s="18" t="s">
        <v>17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9"/>
      <c r="M7" s="19"/>
      <c r="N7" s="48"/>
      <c r="O7" s="20"/>
    </row>
    <row r="8" spans="1:15">
      <c r="A8" s="22" t="s">
        <v>18</v>
      </c>
      <c r="B8" s="49">
        <v>983.15300000000002</v>
      </c>
      <c r="C8" s="49">
        <v>876.74399999999991</v>
      </c>
      <c r="D8" s="49">
        <v>1149.4759999999999</v>
      </c>
      <c r="E8" s="49">
        <v>1055.385</v>
      </c>
      <c r="F8" s="49">
        <v>1194.9690000000001</v>
      </c>
      <c r="G8" s="49">
        <v>1121.163</v>
      </c>
      <c r="H8" s="49">
        <v>1285.646</v>
      </c>
      <c r="I8" s="50">
        <v>1223.472</v>
      </c>
      <c r="J8" s="50">
        <v>1227.8820000000001</v>
      </c>
      <c r="K8" s="50">
        <v>1191.123</v>
      </c>
      <c r="L8" s="50">
        <v>1091.6870000000001</v>
      </c>
      <c r="M8" s="50">
        <v>754.24800000000005</v>
      </c>
      <c r="N8" s="51">
        <f>SUM(B8:M8)</f>
        <v>13154.947999999999</v>
      </c>
    </row>
    <row r="9" spans="1:15">
      <c r="A9" s="22" t="s">
        <v>19</v>
      </c>
      <c r="B9" s="49">
        <v>763.21799999999996</v>
      </c>
      <c r="C9" s="49">
        <v>766.52</v>
      </c>
      <c r="D9" s="49">
        <v>683.34400000000005</v>
      </c>
      <c r="E9" s="49">
        <v>700.06299999999999</v>
      </c>
      <c r="F9" s="49">
        <v>732.9369999999999</v>
      </c>
      <c r="G9" s="49">
        <v>665.12900000000002</v>
      </c>
      <c r="H9" s="49">
        <v>691.04300000000012</v>
      </c>
      <c r="I9" s="50">
        <v>730.37200000000007</v>
      </c>
      <c r="J9" s="50">
        <v>703.40200000000004</v>
      </c>
      <c r="K9" s="50">
        <v>700.005</v>
      </c>
      <c r="L9" s="50">
        <v>653.30600000000004</v>
      </c>
      <c r="M9" s="50">
        <v>771.548</v>
      </c>
      <c r="N9" s="51">
        <f t="shared" ref="N9:N15" si="0">SUM(B9:M9)</f>
        <v>8560.8870000000024</v>
      </c>
    </row>
    <row r="10" spans="1:15">
      <c r="A10" s="22" t="s">
        <v>20</v>
      </c>
      <c r="B10" s="49">
        <v>1243.365</v>
      </c>
      <c r="C10" s="49">
        <v>1395.73</v>
      </c>
      <c r="D10" s="49">
        <v>1262.693</v>
      </c>
      <c r="E10" s="49">
        <v>1196.884</v>
      </c>
      <c r="F10" s="49">
        <v>1307.3190000000002</v>
      </c>
      <c r="G10" s="49">
        <v>984.30800000000011</v>
      </c>
      <c r="H10" s="49">
        <v>1148.444</v>
      </c>
      <c r="I10" s="50">
        <v>1272.5099999999998</v>
      </c>
      <c r="J10" s="50">
        <v>1299.9930000000002</v>
      </c>
      <c r="K10" s="50">
        <v>1355.068</v>
      </c>
      <c r="L10" s="50">
        <v>1268.663</v>
      </c>
      <c r="M10" s="50">
        <v>1391.0530000000001</v>
      </c>
      <c r="N10" s="51">
        <f>SUM(B10:M10)</f>
        <v>15126.03</v>
      </c>
    </row>
    <row r="11" spans="1:15">
      <c r="A11" s="22" t="s">
        <v>21</v>
      </c>
      <c r="B11" s="49">
        <v>678.14499999999998</v>
      </c>
      <c r="C11" s="49">
        <v>703.93000000000006</v>
      </c>
      <c r="D11" s="49">
        <v>456.34000000000003</v>
      </c>
      <c r="E11" s="49">
        <v>577.47399999999993</v>
      </c>
      <c r="F11" s="49">
        <v>543.19200000000001</v>
      </c>
      <c r="G11" s="49">
        <v>526.96799999999996</v>
      </c>
      <c r="H11" s="49">
        <v>654.99400000000003</v>
      </c>
      <c r="I11" s="50">
        <v>655.03800000000001</v>
      </c>
      <c r="J11" s="50">
        <v>675.13099999999997</v>
      </c>
      <c r="K11" s="50">
        <v>688.98</v>
      </c>
      <c r="L11" s="50">
        <v>632.59</v>
      </c>
      <c r="M11" s="50">
        <v>697.46500000000003</v>
      </c>
      <c r="N11" s="51">
        <f t="shared" si="0"/>
        <v>7490.2470000000012</v>
      </c>
    </row>
    <row r="12" spans="1:15">
      <c r="A12" s="22" t="s">
        <v>22</v>
      </c>
      <c r="B12" s="49">
        <v>572.79500000000007</v>
      </c>
      <c r="C12" s="49">
        <v>546.83600000000001</v>
      </c>
      <c r="D12" s="49">
        <v>488.44500000000005</v>
      </c>
      <c r="E12" s="49">
        <v>540.43799999999999</v>
      </c>
      <c r="F12" s="49">
        <v>579.33199999999999</v>
      </c>
      <c r="G12" s="49">
        <v>468.72400000000005</v>
      </c>
      <c r="H12" s="49">
        <v>525.12</v>
      </c>
      <c r="I12" s="50">
        <v>538.71399999999994</v>
      </c>
      <c r="J12" s="50">
        <v>538.47400000000005</v>
      </c>
      <c r="K12" s="50">
        <v>533.17899999999997</v>
      </c>
      <c r="L12" s="50">
        <v>475.00099999999998</v>
      </c>
      <c r="M12" s="50">
        <v>537.66899999999998</v>
      </c>
      <c r="N12" s="51">
        <f t="shared" si="0"/>
        <v>6344.7270000000008</v>
      </c>
    </row>
    <row r="13" spans="1:15">
      <c r="A13" s="22" t="s">
        <v>23</v>
      </c>
      <c r="B13" s="49">
        <v>91.281999999999996</v>
      </c>
      <c r="C13" s="49">
        <v>92.998999999999995</v>
      </c>
      <c r="D13" s="49">
        <v>90.894000000000005</v>
      </c>
      <c r="E13" s="49">
        <v>68.037999999999997</v>
      </c>
      <c r="F13" s="49">
        <v>5.1779999999999999</v>
      </c>
      <c r="G13" s="49">
        <v>73.491</v>
      </c>
      <c r="H13" s="49">
        <v>100.79</v>
      </c>
      <c r="I13" s="50">
        <v>81.14</v>
      </c>
      <c r="J13" s="50">
        <v>98.45</v>
      </c>
      <c r="K13" s="50">
        <v>93.266999999999996</v>
      </c>
      <c r="L13" s="50">
        <v>75.762</v>
      </c>
      <c r="M13" s="50">
        <v>85.161000000000001</v>
      </c>
      <c r="N13" s="51">
        <f t="shared" si="0"/>
        <v>956.452</v>
      </c>
    </row>
    <row r="14" spans="1:15">
      <c r="A14" s="22" t="s">
        <v>24</v>
      </c>
      <c r="B14" s="49">
        <v>44.579000000000001</v>
      </c>
      <c r="C14" s="49">
        <v>60.927</v>
      </c>
      <c r="D14" s="49">
        <v>59.435000000000002</v>
      </c>
      <c r="E14" s="49">
        <v>59.618000000000002</v>
      </c>
      <c r="F14" s="49">
        <v>58.136000000000003</v>
      </c>
      <c r="G14" s="49">
        <v>54.036000000000001</v>
      </c>
      <c r="H14" s="49">
        <v>40.994</v>
      </c>
      <c r="I14" s="50">
        <v>58.183999999999997</v>
      </c>
      <c r="J14" s="50">
        <v>59.677</v>
      </c>
      <c r="K14" s="50">
        <v>55.296999999999997</v>
      </c>
      <c r="L14" s="50">
        <v>51.911999999999999</v>
      </c>
      <c r="M14" s="50">
        <v>57.52</v>
      </c>
      <c r="N14" s="51">
        <f t="shared" si="0"/>
        <v>660.31500000000005</v>
      </c>
    </row>
    <row r="15" spans="1:15">
      <c r="A15" s="22" t="s">
        <v>25</v>
      </c>
      <c r="B15" s="49">
        <v>174.64400000000001</v>
      </c>
      <c r="C15" s="49">
        <v>182.45600000000002</v>
      </c>
      <c r="D15" s="49">
        <v>210.59100000000001</v>
      </c>
      <c r="E15" s="49">
        <v>211.459</v>
      </c>
      <c r="F15" s="49">
        <v>213.50200000000001</v>
      </c>
      <c r="G15" s="49">
        <v>180.416</v>
      </c>
      <c r="H15" s="49">
        <v>209.29099999999997</v>
      </c>
      <c r="I15" s="50">
        <v>202.53200000000001</v>
      </c>
      <c r="J15" s="50">
        <v>187.108</v>
      </c>
      <c r="K15" s="50">
        <v>173.44399999999996</v>
      </c>
      <c r="L15" s="50">
        <v>180.07299999999998</v>
      </c>
      <c r="M15" s="50">
        <v>230.619</v>
      </c>
      <c r="N15" s="51">
        <f t="shared" si="0"/>
        <v>2356.1349999999998</v>
      </c>
    </row>
    <row r="16" spans="1:15">
      <c r="A16" s="18" t="s">
        <v>27</v>
      </c>
      <c r="B16" s="52">
        <v>4551.1809999999996</v>
      </c>
      <c r="C16" s="52">
        <v>4626.1419999999998</v>
      </c>
      <c r="D16" s="52">
        <v>4401.2180000000008</v>
      </c>
      <c r="E16" s="52">
        <v>4409.3589999999995</v>
      </c>
      <c r="F16" s="52">
        <v>4634.5650000000014</v>
      </c>
      <c r="G16" s="52">
        <v>4074.2350000000001</v>
      </c>
      <c r="H16" s="52">
        <v>4656.3220000000001</v>
      </c>
      <c r="I16" s="52">
        <v>4761.9620000000004</v>
      </c>
      <c r="J16" s="52">
        <v>4790.1169999999993</v>
      </c>
      <c r="K16" s="52">
        <v>4790.3629999999994</v>
      </c>
      <c r="L16" s="52">
        <v>4428.9940000000006</v>
      </c>
      <c r="M16" s="52">
        <v>4525.2830000000004</v>
      </c>
      <c r="N16" s="53">
        <f>SUM(B16:M16)</f>
        <v>54649.741000000002</v>
      </c>
    </row>
    <row r="17" spans="1:14">
      <c r="A17" s="22"/>
      <c r="B17" s="49"/>
      <c r="C17" s="49"/>
      <c r="D17" s="49"/>
      <c r="E17" s="49"/>
      <c r="F17" s="49"/>
      <c r="G17" s="49"/>
      <c r="H17" s="49"/>
      <c r="I17" s="50"/>
      <c r="J17" s="50"/>
      <c r="K17" s="50"/>
      <c r="L17" s="50"/>
      <c r="M17" s="50"/>
      <c r="N17" s="51"/>
    </row>
    <row r="18" spans="1:14">
      <c r="A18" s="18" t="s">
        <v>28</v>
      </c>
      <c r="B18" s="52"/>
      <c r="C18" s="52"/>
      <c r="D18" s="52"/>
      <c r="E18" s="52"/>
      <c r="F18" s="52"/>
      <c r="G18" s="52"/>
      <c r="H18" s="52"/>
      <c r="I18" s="54"/>
      <c r="J18" s="54"/>
      <c r="K18" s="54"/>
      <c r="L18" s="54"/>
      <c r="M18" s="54"/>
      <c r="N18" s="51"/>
    </row>
    <row r="19" spans="1:14">
      <c r="A19" s="22" t="s">
        <v>29</v>
      </c>
      <c r="B19" s="49">
        <v>400.59000000000003</v>
      </c>
      <c r="C19" s="49">
        <v>581.15956100000005</v>
      </c>
      <c r="D19" s="49">
        <v>587.47499999999991</v>
      </c>
      <c r="E19" s="49">
        <v>690.94100000000003</v>
      </c>
      <c r="F19" s="49">
        <v>729.59513600000014</v>
      </c>
      <c r="G19" s="49">
        <v>699.21228800000006</v>
      </c>
      <c r="H19" s="49">
        <v>701.15683300000001</v>
      </c>
      <c r="I19" s="50">
        <v>678.24299999999994</v>
      </c>
      <c r="J19" s="50">
        <v>663.92399999999998</v>
      </c>
      <c r="K19" s="50">
        <v>687.12899999999991</v>
      </c>
      <c r="L19" s="50">
        <v>626.79300000000001</v>
      </c>
      <c r="M19" s="50">
        <v>701.81400000000008</v>
      </c>
      <c r="N19" s="51">
        <f>SUM(B19:M19)</f>
        <v>7748.0328179999997</v>
      </c>
    </row>
    <row r="20" spans="1:14">
      <c r="A20" s="22" t="s">
        <v>30</v>
      </c>
      <c r="B20" s="49">
        <v>623.93009200000006</v>
      </c>
      <c r="C20" s="49">
        <v>718.71493799999996</v>
      </c>
      <c r="D20" s="49">
        <v>672.22804199999996</v>
      </c>
      <c r="E20" s="49">
        <v>473.86133000000001</v>
      </c>
      <c r="F20" s="49">
        <v>418.65325300000006</v>
      </c>
      <c r="G20" s="49">
        <v>630.58005200000002</v>
      </c>
      <c r="H20" s="49">
        <v>724.29604299999994</v>
      </c>
      <c r="I20" s="50">
        <v>585.78006100000005</v>
      </c>
      <c r="J20" s="50">
        <v>862.67565700000011</v>
      </c>
      <c r="K20" s="50">
        <v>756.46516199999996</v>
      </c>
      <c r="L20" s="50">
        <v>718.20064000000002</v>
      </c>
      <c r="M20" s="50">
        <v>825.80006700000001</v>
      </c>
      <c r="N20" s="51">
        <f>SUM(B20:M20)</f>
        <v>8011.1853369999999</v>
      </c>
    </row>
    <row r="21" spans="1:14">
      <c r="A21" s="22" t="s">
        <v>72</v>
      </c>
      <c r="B21" s="49">
        <v>137.554845</v>
      </c>
      <c r="C21" s="49">
        <v>137.554845</v>
      </c>
      <c r="D21" s="49">
        <v>137.554845</v>
      </c>
      <c r="E21" s="49">
        <v>379.21856833333339</v>
      </c>
      <c r="F21" s="49">
        <v>379.21856833333339</v>
      </c>
      <c r="G21" s="49">
        <v>379.21856833333339</v>
      </c>
      <c r="H21" s="49">
        <v>516.71071366666661</v>
      </c>
      <c r="I21" s="50">
        <v>516.71071366666661</v>
      </c>
      <c r="J21" s="50">
        <v>516.71071366666661</v>
      </c>
      <c r="K21" s="50">
        <v>601.24</v>
      </c>
      <c r="L21" s="50">
        <v>601.24</v>
      </c>
      <c r="M21" s="50">
        <v>601.24</v>
      </c>
      <c r="N21" s="51">
        <f>SUM(B21:M21)</f>
        <v>4904.1723809999994</v>
      </c>
    </row>
    <row r="22" spans="1:14">
      <c r="A22" s="18" t="s">
        <v>31</v>
      </c>
      <c r="B22" s="52">
        <f>SUM(B19:B21)</f>
        <v>1162.0749370000003</v>
      </c>
      <c r="C22" s="52">
        <f t="shared" ref="C22:N22" si="1">SUM(C19:C21)</f>
        <v>1437.4293440000001</v>
      </c>
      <c r="D22" s="52">
        <f t="shared" si="1"/>
        <v>1397.2578869999998</v>
      </c>
      <c r="E22" s="52">
        <f t="shared" si="1"/>
        <v>1544.0208983333334</v>
      </c>
      <c r="F22" s="52">
        <f t="shared" si="1"/>
        <v>1527.4669573333338</v>
      </c>
      <c r="G22" s="52">
        <f t="shared" si="1"/>
        <v>1709.0109083333334</v>
      </c>
      <c r="H22" s="52">
        <f t="shared" si="1"/>
        <v>1942.1635896666664</v>
      </c>
      <c r="I22" s="52">
        <f t="shared" si="1"/>
        <v>1780.7337746666665</v>
      </c>
      <c r="J22" s="52">
        <f t="shared" si="1"/>
        <v>2043.3103706666668</v>
      </c>
      <c r="K22" s="52">
        <f>SUM(K19:K21)</f>
        <v>2044.8341619999999</v>
      </c>
      <c r="L22" s="52">
        <f t="shared" si="1"/>
        <v>1946.2336400000002</v>
      </c>
      <c r="M22" s="52">
        <v>2128.8540670000002</v>
      </c>
      <c r="N22" s="52">
        <f t="shared" si="1"/>
        <v>20663.390535999999</v>
      </c>
    </row>
    <row r="23" spans="1:14">
      <c r="A23" s="22"/>
      <c r="B23" s="49"/>
      <c r="C23" s="49"/>
      <c r="D23" s="49"/>
      <c r="E23" s="49"/>
      <c r="F23" s="49"/>
      <c r="G23" s="49"/>
      <c r="H23" s="55"/>
      <c r="I23" s="55"/>
      <c r="J23" s="55"/>
      <c r="K23" s="55"/>
      <c r="L23" s="55"/>
      <c r="M23" s="55"/>
      <c r="N23" s="51"/>
    </row>
    <row r="24" spans="1:14">
      <c r="A24" s="18" t="s">
        <v>32</v>
      </c>
      <c r="B24" s="52"/>
      <c r="C24" s="52"/>
      <c r="D24" s="52"/>
      <c r="E24" s="52"/>
      <c r="F24" s="52"/>
      <c r="G24" s="52"/>
      <c r="H24" s="52"/>
      <c r="I24" s="54"/>
      <c r="J24" s="54"/>
      <c r="K24" s="54"/>
      <c r="L24" s="54"/>
      <c r="M24" s="54"/>
      <c r="N24" s="51"/>
    </row>
    <row r="25" spans="1:14">
      <c r="A25" s="22" t="s">
        <v>33</v>
      </c>
      <c r="B25" s="49">
        <v>1072.1979999999999</v>
      </c>
      <c r="C25" s="49">
        <v>1105.471</v>
      </c>
      <c r="D25" s="49">
        <v>1081.578</v>
      </c>
      <c r="E25" s="49">
        <v>1105.854</v>
      </c>
      <c r="F25" s="49">
        <v>1084.5220000000002</v>
      </c>
      <c r="G25" s="49">
        <v>901.12599999999998</v>
      </c>
      <c r="H25" s="49">
        <v>1117.3879999999999</v>
      </c>
      <c r="I25" s="50">
        <v>1037.902</v>
      </c>
      <c r="J25" s="50">
        <v>1142.278</v>
      </c>
      <c r="K25" s="50">
        <v>1101.1010000000001</v>
      </c>
      <c r="L25" s="50">
        <v>1004.9829999999999</v>
      </c>
      <c r="M25" s="50">
        <v>981.39699999999993</v>
      </c>
      <c r="N25" s="51">
        <f>SUM(B25:M25)</f>
        <v>12735.798000000003</v>
      </c>
    </row>
    <row r="26" spans="1:14">
      <c r="A26" s="22" t="s">
        <v>65</v>
      </c>
      <c r="B26" s="49">
        <v>875.816778</v>
      </c>
      <c r="C26" s="49">
        <v>795.04761100000007</v>
      </c>
      <c r="D26" s="49">
        <v>901.05600000000004</v>
      </c>
      <c r="E26" s="49">
        <v>941.93351099999995</v>
      </c>
      <c r="F26" s="49">
        <v>920.94322700000009</v>
      </c>
      <c r="G26" s="49">
        <v>902.63257399999998</v>
      </c>
      <c r="H26" s="49">
        <v>901.64499999999987</v>
      </c>
      <c r="I26" s="50">
        <v>716.89320199999997</v>
      </c>
      <c r="J26" s="50">
        <v>624.13186700000006</v>
      </c>
      <c r="K26" s="50">
        <v>880.32765400000005</v>
      </c>
      <c r="L26" s="50">
        <v>809.25809200000003</v>
      </c>
      <c r="M26" s="50">
        <v>835.76313400000004</v>
      </c>
      <c r="N26" s="51">
        <f>SUM(B26:M26)</f>
        <v>10105.44865</v>
      </c>
    </row>
    <row r="27" spans="1:14">
      <c r="A27" s="22" t="s">
        <v>66</v>
      </c>
      <c r="B27" s="49">
        <v>90.373999999999995</v>
      </c>
      <c r="C27" s="56">
        <v>0</v>
      </c>
      <c r="D27" s="56">
        <v>224.62899999999999</v>
      </c>
      <c r="E27" s="57">
        <v>244.107</v>
      </c>
      <c r="F27" s="57">
        <v>269.40593899999993</v>
      </c>
      <c r="G27" s="57">
        <v>251.72</v>
      </c>
      <c r="H27" s="57">
        <v>254.74799999999999</v>
      </c>
      <c r="I27" s="58">
        <v>234.626</v>
      </c>
      <c r="J27" s="50">
        <v>232.892</v>
      </c>
      <c r="K27" s="50">
        <v>226.09399999999999</v>
      </c>
      <c r="L27" s="50">
        <v>192.24299999999999</v>
      </c>
      <c r="M27" s="50">
        <v>257.18200000000002</v>
      </c>
      <c r="N27" s="51">
        <f>SUM(B27:M27)</f>
        <v>2478.020939</v>
      </c>
    </row>
    <row r="28" spans="1:14">
      <c r="A28" s="22" t="s">
        <v>67</v>
      </c>
      <c r="B28" s="49">
        <v>467.250451</v>
      </c>
      <c r="C28" s="56">
        <v>423.40031499999998</v>
      </c>
      <c r="D28" s="56">
        <v>553.34584399999994</v>
      </c>
      <c r="E28" s="57">
        <v>339.36848199999997</v>
      </c>
      <c r="F28" s="57">
        <v>604.16019700000004</v>
      </c>
      <c r="G28" s="57">
        <v>102.350236</v>
      </c>
      <c r="H28" s="57">
        <v>564.045885</v>
      </c>
      <c r="I28" s="58">
        <v>551.904087</v>
      </c>
      <c r="J28" s="50">
        <v>523.62028099999998</v>
      </c>
      <c r="K28" s="50">
        <v>504.65896800000002</v>
      </c>
      <c r="L28" s="50">
        <v>510.96257600000001</v>
      </c>
      <c r="M28" s="50">
        <v>586.87832400000002</v>
      </c>
      <c r="N28" s="51">
        <f>SUM(B28:M28)</f>
        <v>5731.9456460000001</v>
      </c>
    </row>
    <row r="29" spans="1:14">
      <c r="A29" s="18" t="s">
        <v>35</v>
      </c>
      <c r="B29" s="52">
        <v>2505.6392289999999</v>
      </c>
      <c r="C29" s="52">
        <v>2323.9189259999998</v>
      </c>
      <c r="D29" s="52">
        <v>2760.6088439999999</v>
      </c>
      <c r="E29" s="52">
        <v>2631.2629929999998</v>
      </c>
      <c r="F29" s="52">
        <v>2879.0313630000001</v>
      </c>
      <c r="G29" s="52">
        <v>2157.82881</v>
      </c>
      <c r="H29" s="52">
        <v>2837.8268849999999</v>
      </c>
      <c r="I29" s="52">
        <v>2541.3252889999999</v>
      </c>
      <c r="J29" s="52">
        <v>2522.9221480000001</v>
      </c>
      <c r="K29" s="52">
        <v>2712.1816220000005</v>
      </c>
      <c r="L29" s="52">
        <v>2517.446668</v>
      </c>
      <c r="M29" s="52">
        <v>2661.2204579999998</v>
      </c>
      <c r="N29" s="53">
        <f>SUM(B29:M29)</f>
        <v>31051.213234999999</v>
      </c>
    </row>
    <row r="30" spans="1:14">
      <c r="A30" s="18"/>
      <c r="B30" s="52"/>
      <c r="C30" s="52"/>
      <c r="D30" s="52"/>
      <c r="E30" s="52"/>
      <c r="F30" s="52"/>
      <c r="G30" s="52"/>
      <c r="H30" s="52"/>
      <c r="I30" s="54"/>
      <c r="J30" s="54"/>
      <c r="K30" s="54"/>
      <c r="L30" s="54"/>
      <c r="M30" s="54"/>
      <c r="N30" s="51"/>
    </row>
    <row r="31" spans="1:14">
      <c r="A31" s="18" t="s">
        <v>36</v>
      </c>
      <c r="B31" s="52"/>
      <c r="C31" s="52"/>
      <c r="D31" s="52"/>
      <c r="E31" s="52"/>
      <c r="F31" s="52"/>
      <c r="G31" s="52"/>
      <c r="H31" s="52"/>
      <c r="I31" s="54"/>
      <c r="J31" s="54"/>
      <c r="K31" s="54"/>
      <c r="L31" s="54"/>
      <c r="M31" s="54"/>
      <c r="N31" s="51"/>
    </row>
    <row r="32" spans="1:14">
      <c r="A32" s="22" t="s">
        <v>37</v>
      </c>
      <c r="B32" s="49">
        <v>749.36544400000002</v>
      </c>
      <c r="C32" s="49">
        <v>805.44793433900054</v>
      </c>
      <c r="D32" s="49">
        <v>819.4154496366989</v>
      </c>
      <c r="E32" s="49">
        <v>719.61423000000002</v>
      </c>
      <c r="F32" s="49">
        <v>496.58885200000009</v>
      </c>
      <c r="G32" s="49">
        <v>512.150711</v>
      </c>
      <c r="H32" s="49">
        <v>758.4744310000001</v>
      </c>
      <c r="I32" s="50">
        <v>743.6488566999999</v>
      </c>
      <c r="J32" s="50">
        <v>864.38715300000013</v>
      </c>
      <c r="K32" s="50">
        <v>892.5771299999999</v>
      </c>
      <c r="L32" s="50">
        <v>819.09123215999978</v>
      </c>
      <c r="M32" s="50">
        <v>917.43307800000002</v>
      </c>
      <c r="N32" s="51">
        <f>SUM(B32:M32)</f>
        <v>9098.1945018357001</v>
      </c>
    </row>
    <row r="33" spans="1:16">
      <c r="A33" s="22" t="s">
        <v>38</v>
      </c>
      <c r="B33" s="49">
        <v>41.161999999999999</v>
      </c>
      <c r="C33" s="49">
        <v>41.080000000000005</v>
      </c>
      <c r="D33" s="49">
        <v>66.315999999999988</v>
      </c>
      <c r="E33" s="49">
        <v>48.099000000000004</v>
      </c>
      <c r="F33" s="49">
        <v>61.815999999999988</v>
      </c>
      <c r="G33" s="49">
        <v>50.741999999999997</v>
      </c>
      <c r="H33" s="49">
        <v>55.216999999999999</v>
      </c>
      <c r="I33" s="50">
        <v>52.358999999999995</v>
      </c>
      <c r="J33" s="50">
        <v>56.713999999999999</v>
      </c>
      <c r="K33" s="50">
        <v>56.108999999999995</v>
      </c>
      <c r="L33" s="50">
        <v>51.606999999999999</v>
      </c>
      <c r="M33" s="50">
        <v>58.464000000000006</v>
      </c>
      <c r="N33" s="51">
        <f>SUM(B33:M33)</f>
        <v>639.68499999999995</v>
      </c>
    </row>
    <row r="34" spans="1:16">
      <c r="A34" s="18" t="s">
        <v>39</v>
      </c>
      <c r="B34" s="52">
        <v>790.52744400000006</v>
      </c>
      <c r="C34" s="52">
        <v>846.52793433900058</v>
      </c>
      <c r="D34" s="52">
        <v>885.73144963669893</v>
      </c>
      <c r="E34" s="52">
        <v>767.71323000000007</v>
      </c>
      <c r="F34" s="52">
        <v>558.40485200000012</v>
      </c>
      <c r="G34" s="52">
        <v>562.89271099999996</v>
      </c>
      <c r="H34" s="52">
        <v>813.69143100000008</v>
      </c>
      <c r="I34" s="52">
        <v>796.00785669999993</v>
      </c>
      <c r="J34" s="52">
        <v>921.10115300000007</v>
      </c>
      <c r="K34" s="52">
        <v>948.68612999999993</v>
      </c>
      <c r="L34" s="52">
        <v>870.69823215999975</v>
      </c>
      <c r="M34" s="52">
        <v>975.89707800000008</v>
      </c>
      <c r="N34" s="53">
        <f>SUM(B34:M34)</f>
        <v>9737.8795018356996</v>
      </c>
    </row>
    <row r="35" spans="1:16"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1"/>
    </row>
    <row r="36" spans="1:16">
      <c r="A36" s="18" t="s">
        <v>40</v>
      </c>
      <c r="B36" s="52"/>
      <c r="C36" s="52"/>
      <c r="D36" s="52"/>
      <c r="E36" s="52"/>
      <c r="F36" s="52"/>
      <c r="G36" s="52"/>
      <c r="H36" s="52"/>
      <c r="I36" s="54"/>
      <c r="J36" s="50"/>
      <c r="K36" s="50"/>
      <c r="L36" s="50"/>
      <c r="M36" s="50"/>
      <c r="N36" s="51"/>
    </row>
    <row r="37" spans="1:16">
      <c r="A37" s="22" t="s">
        <v>41</v>
      </c>
      <c r="B37" s="49">
        <v>4.0599999999999996</v>
      </c>
      <c r="C37" s="49">
        <v>4.32</v>
      </c>
      <c r="D37" s="49">
        <v>4.8079999999999998</v>
      </c>
      <c r="E37" s="49">
        <v>3.6779999999999999</v>
      </c>
      <c r="F37" s="49">
        <v>4.181</v>
      </c>
      <c r="G37" s="49">
        <v>4.2210000000000001</v>
      </c>
      <c r="H37" s="49">
        <v>3.694</v>
      </c>
      <c r="I37" s="50">
        <v>3.04</v>
      </c>
      <c r="J37" s="50">
        <v>5.15</v>
      </c>
      <c r="K37" s="50">
        <v>5.9669999999999996</v>
      </c>
      <c r="L37" s="50">
        <v>6.3760000000000003</v>
      </c>
      <c r="M37" s="50">
        <v>7.024</v>
      </c>
      <c r="N37" s="51">
        <f>SUM(B37:M37)</f>
        <v>56.518999999999998</v>
      </c>
    </row>
    <row r="38" spans="1:16">
      <c r="A38" s="22" t="s">
        <v>42</v>
      </c>
      <c r="B38" s="49">
        <v>766.48400000000004</v>
      </c>
      <c r="C38" s="49">
        <v>1057.6509999999998</v>
      </c>
      <c r="D38" s="49">
        <v>1090.617</v>
      </c>
      <c r="E38" s="49">
        <v>1193.596</v>
      </c>
      <c r="F38" s="49">
        <v>1198.125</v>
      </c>
      <c r="G38" s="49">
        <v>1198.1280000000002</v>
      </c>
      <c r="H38" s="49">
        <v>1300.1580000000001</v>
      </c>
      <c r="I38" s="50">
        <v>1306.0690000000002</v>
      </c>
      <c r="J38" s="50">
        <v>1213.6162999999999</v>
      </c>
      <c r="K38" s="50">
        <v>1297.1550000000002</v>
      </c>
      <c r="L38" s="50">
        <v>1257.287</v>
      </c>
      <c r="M38" s="50">
        <v>1535.941</v>
      </c>
      <c r="N38" s="51">
        <f>SUM(B38:M38)</f>
        <v>14414.827300000003</v>
      </c>
    </row>
    <row r="39" spans="1:16">
      <c r="A39" s="18" t="s">
        <v>43</v>
      </c>
      <c r="B39" s="52">
        <v>770.54399999999998</v>
      </c>
      <c r="C39" s="52">
        <v>1061.9709999999998</v>
      </c>
      <c r="D39" s="52">
        <v>1095.425</v>
      </c>
      <c r="E39" s="52">
        <v>1197.2740000000001</v>
      </c>
      <c r="F39" s="52">
        <v>1202.306</v>
      </c>
      <c r="G39" s="52">
        <v>1202.3490000000002</v>
      </c>
      <c r="H39" s="52">
        <v>1303.8520000000001</v>
      </c>
      <c r="I39" s="52">
        <v>1309.1090000000002</v>
      </c>
      <c r="J39" s="52">
        <v>1218.7663</v>
      </c>
      <c r="K39" s="52">
        <v>1303.1220000000003</v>
      </c>
      <c r="L39" s="52">
        <v>1263.663</v>
      </c>
      <c r="M39" s="52">
        <v>1542.9649999999999</v>
      </c>
      <c r="N39" s="53">
        <f>SUM(B39:M39)</f>
        <v>14471.346300000001</v>
      </c>
    </row>
    <row r="40" spans="1:16">
      <c r="A40" s="22"/>
      <c r="B40" s="49"/>
      <c r="C40" s="49"/>
      <c r="D40" s="49"/>
      <c r="E40" s="49"/>
      <c r="F40" s="49"/>
      <c r="G40" s="49"/>
      <c r="H40" s="49"/>
      <c r="I40" s="50"/>
      <c r="J40" s="50"/>
      <c r="K40" s="50"/>
      <c r="L40" s="50"/>
      <c r="M40" s="50"/>
      <c r="N40" s="53"/>
    </row>
    <row r="41" spans="1:16">
      <c r="A41" s="18" t="s">
        <v>44</v>
      </c>
      <c r="B41" s="52"/>
      <c r="C41" s="52"/>
      <c r="D41" s="52"/>
      <c r="E41" s="52"/>
      <c r="F41" s="52"/>
      <c r="G41" s="52"/>
      <c r="H41" s="52"/>
      <c r="I41" s="54"/>
      <c r="J41" s="54"/>
      <c r="K41" s="54"/>
      <c r="L41" s="54"/>
      <c r="M41" s="54"/>
      <c r="N41" s="53"/>
    </row>
    <row r="42" spans="1:16">
      <c r="A42" s="22" t="s">
        <v>45</v>
      </c>
      <c r="B42" s="49">
        <v>2701.0139790000003</v>
      </c>
      <c r="C42" s="49">
        <v>2729.7857869999998</v>
      </c>
      <c r="D42" s="49">
        <v>2675.7642489999998</v>
      </c>
      <c r="E42" s="49">
        <v>2799.8156749999998</v>
      </c>
      <c r="F42" s="49">
        <v>2786.6690040000003</v>
      </c>
      <c r="G42" s="49">
        <v>2678.6365939999996</v>
      </c>
      <c r="H42" s="49">
        <v>2851.2091789999995</v>
      </c>
      <c r="I42" s="50">
        <v>2741.5147689999999</v>
      </c>
      <c r="J42" s="50">
        <v>2509.7517010000001</v>
      </c>
      <c r="K42" s="50">
        <v>2829.6993440000001</v>
      </c>
      <c r="L42" s="50">
        <v>2533.5873499999998</v>
      </c>
      <c r="M42" s="50">
        <v>2775.9921850000001</v>
      </c>
      <c r="N42" s="53">
        <f>SUM(B42:M42)</f>
        <v>32613.439816000002</v>
      </c>
    </row>
    <row r="43" spans="1:16">
      <c r="A43" s="22" t="s">
        <v>46</v>
      </c>
      <c r="B43" s="49">
        <v>3035</v>
      </c>
      <c r="C43" s="49">
        <v>3142</v>
      </c>
      <c r="D43" s="49">
        <v>2999.3429999999998</v>
      </c>
      <c r="E43" s="59">
        <v>3143</v>
      </c>
      <c r="F43" s="49">
        <v>3188</v>
      </c>
      <c r="G43" s="59">
        <v>3019</v>
      </c>
      <c r="H43" s="59">
        <v>3151</v>
      </c>
      <c r="I43" s="60">
        <v>3075</v>
      </c>
      <c r="J43" s="60">
        <v>3160</v>
      </c>
      <c r="K43" s="60">
        <v>3199</v>
      </c>
      <c r="L43" s="60">
        <v>2274</v>
      </c>
      <c r="M43" s="60">
        <v>2506</v>
      </c>
      <c r="N43" s="53">
        <f>SUM(B43:M43)</f>
        <v>35891.343000000001</v>
      </c>
    </row>
    <row r="44" spans="1:16">
      <c r="A44" s="18" t="s">
        <v>47</v>
      </c>
      <c r="B44" s="52">
        <v>5736.0139790000003</v>
      </c>
      <c r="C44" s="52">
        <v>5871.7857869999998</v>
      </c>
      <c r="D44" s="52">
        <v>5675.1072489999997</v>
      </c>
      <c r="E44" s="52">
        <v>5942.8156749999998</v>
      </c>
      <c r="F44" s="52">
        <v>5974.6690040000003</v>
      </c>
      <c r="G44" s="52">
        <v>5697.6365939999996</v>
      </c>
      <c r="H44" s="52">
        <v>6002.2091789999995</v>
      </c>
      <c r="I44" s="52">
        <v>5816.5147689999994</v>
      </c>
      <c r="J44" s="52">
        <v>5669.7517010000001</v>
      </c>
      <c r="K44" s="52">
        <f>+K42+K43</f>
        <v>6028.6993440000006</v>
      </c>
      <c r="L44" s="52">
        <f>+L42+L43</f>
        <v>4807.5873499999998</v>
      </c>
      <c r="M44" s="52">
        <f>+M42+M43</f>
        <v>5281.9921850000001</v>
      </c>
      <c r="N44" s="52">
        <f>+N42+N43</f>
        <v>68504.782816000006</v>
      </c>
    </row>
    <row r="45" spans="1:16">
      <c r="A45" s="22"/>
      <c r="B45" s="49"/>
      <c r="C45" s="49"/>
      <c r="D45" s="49"/>
      <c r="E45" s="49"/>
      <c r="F45" s="49"/>
      <c r="G45" s="49"/>
      <c r="H45" s="49"/>
      <c r="I45" s="50"/>
      <c r="J45" s="50"/>
      <c r="K45" s="50"/>
      <c r="L45" s="50"/>
      <c r="M45" s="50"/>
      <c r="N45" s="53"/>
    </row>
    <row r="46" spans="1:16">
      <c r="A46" s="22" t="s">
        <v>48</v>
      </c>
      <c r="B46" s="52">
        <v>1390.7869720000001</v>
      </c>
      <c r="C46" s="52">
        <v>1512.1295729999999</v>
      </c>
      <c r="D46" s="52">
        <v>1575.8666069999999</v>
      </c>
      <c r="E46" s="52">
        <v>1714.9</v>
      </c>
      <c r="F46" s="52">
        <v>1700.8999999999999</v>
      </c>
      <c r="G46" s="52">
        <v>1656.4</v>
      </c>
      <c r="H46" s="52">
        <v>1728.8999999999999</v>
      </c>
      <c r="I46" s="54">
        <v>1676.5</v>
      </c>
      <c r="J46" s="54">
        <v>1729.6999999999998</v>
      </c>
      <c r="K46" s="54">
        <v>1753</v>
      </c>
      <c r="L46" s="54">
        <v>1573.8000000000002</v>
      </c>
      <c r="M46" s="54">
        <v>1756.2000000000003</v>
      </c>
      <c r="N46" s="53">
        <f>SUM(B46:M46)</f>
        <v>19769.083151999999</v>
      </c>
    </row>
    <row r="47" spans="1:16">
      <c r="A47" s="22"/>
      <c r="B47" s="49"/>
      <c r="C47" s="49"/>
      <c r="D47" s="49"/>
      <c r="E47" s="49"/>
      <c r="F47" s="49"/>
      <c r="G47" s="49"/>
      <c r="H47" s="49"/>
      <c r="I47" s="50"/>
      <c r="J47" s="50"/>
      <c r="K47" s="50"/>
      <c r="L47" s="50"/>
      <c r="M47" s="50"/>
      <c r="N47" s="53"/>
      <c r="P47" s="45"/>
    </row>
    <row r="48" spans="1:16">
      <c r="A48" s="18" t="s">
        <v>49</v>
      </c>
      <c r="B48" s="52">
        <f>+B16+B22+B29+B34+B39+B44+B46</f>
        <v>16906.767561000001</v>
      </c>
      <c r="C48" s="52">
        <f>+C16+C22+C29+C34+C39+C44+C46</f>
        <v>17679.904564338998</v>
      </c>
      <c r="D48" s="52">
        <f>+D16+D22+D29+D34+D39+D44+D46</f>
        <v>17791.215036636699</v>
      </c>
      <c r="E48" s="52">
        <f>+E16+E22+E29+E34+E39+E44+E46</f>
        <v>18207.345796333335</v>
      </c>
      <c r="F48" s="52">
        <f>+F16+F22+F29+F34+F39+F44+F46</f>
        <v>18477.343176333336</v>
      </c>
      <c r="G48" s="52">
        <f t="shared" ref="G48:N48" si="2">+G16+G22+G29+G34+G39+G44+G46</f>
        <v>17060.353023333333</v>
      </c>
      <c r="H48" s="52">
        <f t="shared" si="2"/>
        <v>19284.96508466667</v>
      </c>
      <c r="I48" s="52">
        <f t="shared" si="2"/>
        <v>18682.152689366667</v>
      </c>
      <c r="J48" s="52">
        <f t="shared" si="2"/>
        <v>18895.668672666667</v>
      </c>
      <c r="K48" s="52">
        <f>+K16+K22+K29+K34+K39+K44+K46</f>
        <v>19580.886258000002</v>
      </c>
      <c r="L48" s="52">
        <f t="shared" si="2"/>
        <v>17408.42289016</v>
      </c>
      <c r="M48" s="52">
        <f t="shared" si="2"/>
        <v>18872.411788000001</v>
      </c>
      <c r="N48" s="52">
        <f t="shared" si="2"/>
        <v>218847.43654083574</v>
      </c>
    </row>
    <row r="49" spans="1:14">
      <c r="A49" s="37" t="s">
        <v>68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</row>
    <row r="50" spans="1:14" ht="12.75">
      <c r="A50" s="61" t="s">
        <v>69</v>
      </c>
      <c r="B50" s="62"/>
      <c r="C50" s="63"/>
      <c r="D50" s="63"/>
      <c r="E50" s="64"/>
      <c r="F50" s="64"/>
      <c r="G50" s="64"/>
      <c r="H50" s="65"/>
      <c r="I50" s="66"/>
      <c r="J50" s="66"/>
      <c r="K50" s="65"/>
      <c r="L50" s="65"/>
      <c r="M50" s="65"/>
      <c r="N50" s="67"/>
    </row>
    <row r="51" spans="1:14" ht="12" customHeight="1">
      <c r="A51" s="264" t="s">
        <v>73</v>
      </c>
      <c r="B51" s="265"/>
      <c r="C51" s="265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6"/>
    </row>
  </sheetData>
  <mergeCells count="3">
    <mergeCell ref="A4:N4"/>
    <mergeCell ref="A5:C5"/>
    <mergeCell ref="A51:N51"/>
  </mergeCells>
  <printOptions horizontalCentered="1"/>
  <pageMargins left="0.7" right="0.7" top="0.75" bottom="0.75" header="0.3" footer="0.3"/>
  <pageSetup paperSize="9" scale="8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41A9E-0BD9-4A38-AA9D-2DA7F6B705B1}">
  <dimension ref="A1:IV51"/>
  <sheetViews>
    <sheetView workbookViewId="0">
      <selection activeCell="P18" sqref="P18"/>
    </sheetView>
  </sheetViews>
  <sheetFormatPr defaultRowHeight="12"/>
  <cols>
    <col min="1" max="1" width="41.7109375" style="31" customWidth="1"/>
    <col min="2" max="13" width="9.140625" style="12" customWidth="1"/>
    <col min="14" max="16384" width="9.140625" style="12"/>
  </cols>
  <sheetData>
    <row r="1" spans="1:256">
      <c r="A1" s="1" t="s">
        <v>0</v>
      </c>
    </row>
    <row r="2" spans="1:256" ht="12.75">
      <c r="A2" s="1"/>
      <c r="E2" s="13"/>
      <c r="F2" s="13"/>
      <c r="G2" s="13"/>
      <c r="H2" s="13"/>
    </row>
    <row r="3" spans="1:256" ht="12.75">
      <c r="A3" s="1" t="s">
        <v>50</v>
      </c>
      <c r="E3" s="13"/>
      <c r="F3" s="13"/>
      <c r="G3" s="14"/>
      <c r="H3" s="14"/>
    </row>
    <row r="4" spans="1:256">
      <c r="A4" s="234" t="s">
        <v>2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</row>
    <row r="5" spans="1:256">
      <c r="A5" s="263" t="s">
        <v>3</v>
      </c>
      <c r="B5" s="263"/>
      <c r="C5" s="263"/>
    </row>
    <row r="6" spans="1:256">
      <c r="A6" s="15" t="s">
        <v>51</v>
      </c>
      <c r="B6" s="16" t="s">
        <v>52</v>
      </c>
      <c r="C6" s="16" t="s">
        <v>53</v>
      </c>
      <c r="D6" s="16" t="s">
        <v>54</v>
      </c>
      <c r="E6" s="16" t="s">
        <v>55</v>
      </c>
      <c r="F6" s="16" t="s">
        <v>56</v>
      </c>
      <c r="G6" s="16" t="s">
        <v>57</v>
      </c>
      <c r="H6" s="16" t="s">
        <v>58</v>
      </c>
      <c r="I6" s="16" t="s">
        <v>59</v>
      </c>
      <c r="J6" s="16" t="s">
        <v>60</v>
      </c>
      <c r="K6" s="16" t="s">
        <v>61</v>
      </c>
      <c r="L6" s="16" t="s">
        <v>62</v>
      </c>
      <c r="M6" s="16" t="s">
        <v>63</v>
      </c>
      <c r="N6" s="16" t="s">
        <v>64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</row>
    <row r="7" spans="1:256">
      <c r="A7" s="18" t="s">
        <v>17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9"/>
      <c r="M7" s="19"/>
      <c r="N7" s="20"/>
      <c r="O7" s="20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</row>
    <row r="8" spans="1:256">
      <c r="A8" s="22" t="s">
        <v>18</v>
      </c>
      <c r="B8" s="23">
        <v>1225.1190000000001</v>
      </c>
      <c r="C8" s="23">
        <v>1271.4359999999999</v>
      </c>
      <c r="D8" s="23">
        <v>1227.0740000000001</v>
      </c>
      <c r="E8" s="23">
        <v>1222.6100000000001</v>
      </c>
      <c r="F8" s="23">
        <v>1058.712</v>
      </c>
      <c r="G8" s="23">
        <v>965.45900000000006</v>
      </c>
      <c r="H8" s="23">
        <v>1305.066</v>
      </c>
      <c r="I8" s="24">
        <v>1149.213</v>
      </c>
      <c r="J8" s="24">
        <v>1247.8200000000002</v>
      </c>
      <c r="K8" s="24">
        <v>1162.44</v>
      </c>
      <c r="L8" s="24">
        <v>1161.1959999999999</v>
      </c>
      <c r="M8" s="24">
        <v>1256.9349999999999</v>
      </c>
      <c r="N8" s="25">
        <f>SUM(B8:M8)</f>
        <v>14253.08</v>
      </c>
    </row>
    <row r="9" spans="1:256">
      <c r="A9" s="22" t="s">
        <v>19</v>
      </c>
      <c r="B9" s="23">
        <v>744.73399999999992</v>
      </c>
      <c r="C9" s="23">
        <v>749.65099999999995</v>
      </c>
      <c r="D9" s="23">
        <v>751.51</v>
      </c>
      <c r="E9" s="23">
        <v>756.29999999999984</v>
      </c>
      <c r="F9" s="23">
        <v>683.66600000000005</v>
      </c>
      <c r="G9" s="23">
        <v>460.72799999999995</v>
      </c>
      <c r="H9" s="23">
        <v>304.65699999999998</v>
      </c>
      <c r="I9" s="24">
        <v>750.44399999999996</v>
      </c>
      <c r="J9" s="24">
        <v>782.97</v>
      </c>
      <c r="K9" s="24">
        <v>710.84199999999998</v>
      </c>
      <c r="L9" s="24">
        <v>721.673</v>
      </c>
      <c r="M9" s="24">
        <v>785</v>
      </c>
      <c r="N9" s="25">
        <f t="shared" ref="N9:N15" si="0">SUM(B9:M9)</f>
        <v>8202.1749999999993</v>
      </c>
    </row>
    <row r="10" spans="1:256">
      <c r="A10" s="22" t="s">
        <v>20</v>
      </c>
      <c r="B10" s="23">
        <v>1292.7069999999999</v>
      </c>
      <c r="C10" s="23">
        <v>1194.4000000000001</v>
      </c>
      <c r="D10" s="23">
        <v>1182.2209999999998</v>
      </c>
      <c r="E10" s="23">
        <v>1299.8919999999998</v>
      </c>
      <c r="F10" s="23">
        <v>1383.047</v>
      </c>
      <c r="G10" s="23">
        <v>1279.1370000000002</v>
      </c>
      <c r="H10" s="23">
        <v>1390.268</v>
      </c>
      <c r="I10" s="24">
        <v>1209.508</v>
      </c>
      <c r="J10" s="24">
        <v>1394.174</v>
      </c>
      <c r="K10" s="24">
        <v>1332.0429999999999</v>
      </c>
      <c r="L10" s="24">
        <v>1235.3680000000002</v>
      </c>
      <c r="M10" s="24">
        <v>1303.115</v>
      </c>
      <c r="N10" s="25">
        <f>SUM(B10:M10)</f>
        <v>15495.88</v>
      </c>
    </row>
    <row r="11" spans="1:256">
      <c r="A11" s="22" t="s">
        <v>21</v>
      </c>
      <c r="B11" s="23">
        <v>704.49599999999998</v>
      </c>
      <c r="C11" s="23">
        <v>735.66200000000003</v>
      </c>
      <c r="D11" s="23">
        <v>700.38300000000004</v>
      </c>
      <c r="E11" s="23">
        <v>652.80300000000011</v>
      </c>
      <c r="F11" s="23">
        <v>670.23199999999997</v>
      </c>
      <c r="G11" s="23">
        <v>638.02499999999998</v>
      </c>
      <c r="H11" s="23">
        <v>674.31899999999996</v>
      </c>
      <c r="I11" s="24">
        <v>672.04200000000014</v>
      </c>
      <c r="J11" s="24">
        <v>629.10599999999999</v>
      </c>
      <c r="K11" s="24">
        <v>672.46100000000001</v>
      </c>
      <c r="L11" s="24">
        <v>626.60400000000004</v>
      </c>
      <c r="M11" s="24">
        <v>695.62</v>
      </c>
      <c r="N11" s="25">
        <f t="shared" si="0"/>
        <v>8071.7530000000006</v>
      </c>
    </row>
    <row r="12" spans="1:256">
      <c r="A12" s="22" t="s">
        <v>22</v>
      </c>
      <c r="B12" s="23">
        <v>524.94499999999994</v>
      </c>
      <c r="C12" s="23">
        <v>552.26600000000008</v>
      </c>
      <c r="D12" s="23">
        <v>551.57499999999993</v>
      </c>
      <c r="E12" s="23">
        <v>419.03699999999998</v>
      </c>
      <c r="F12" s="23">
        <v>184.85399999999998</v>
      </c>
      <c r="G12" s="23">
        <v>435.02400000000006</v>
      </c>
      <c r="H12" s="23">
        <v>545.36399999999992</v>
      </c>
      <c r="I12" s="24">
        <v>562.97400000000005</v>
      </c>
      <c r="J12" s="24">
        <v>521.48699999999997</v>
      </c>
      <c r="K12" s="24">
        <v>416.06300000000005</v>
      </c>
      <c r="L12" s="24">
        <v>441.91299999999995</v>
      </c>
      <c r="M12" s="24">
        <v>574.51400000000001</v>
      </c>
      <c r="N12" s="25">
        <f t="shared" si="0"/>
        <v>5730.0159999999996</v>
      </c>
    </row>
    <row r="13" spans="1:256">
      <c r="A13" s="22" t="s">
        <v>23</v>
      </c>
      <c r="B13" s="23">
        <v>97.701999999999998</v>
      </c>
      <c r="C13" s="23">
        <v>80.349000000000004</v>
      </c>
      <c r="D13" s="23">
        <v>65.474999999999994</v>
      </c>
      <c r="E13" s="23">
        <v>67.293999999999997</v>
      </c>
      <c r="F13" s="23">
        <v>97.798000000000002</v>
      </c>
      <c r="G13" s="23">
        <v>91.320999999999998</v>
      </c>
      <c r="H13" s="23">
        <v>95.436000000000007</v>
      </c>
      <c r="I13" s="24">
        <v>90.98</v>
      </c>
      <c r="J13" s="24">
        <v>93.929000000000002</v>
      </c>
      <c r="K13" s="24">
        <v>94.064999999999998</v>
      </c>
      <c r="L13" s="24">
        <v>88.891000000000005</v>
      </c>
      <c r="M13" s="24">
        <v>95.221000000000004</v>
      </c>
      <c r="N13" s="25">
        <f t="shared" si="0"/>
        <v>1058.4609999999998</v>
      </c>
    </row>
    <row r="14" spans="1:256">
      <c r="A14" s="22" t="s">
        <v>24</v>
      </c>
      <c r="B14" s="23">
        <v>15.788</v>
      </c>
      <c r="C14" s="23">
        <v>59.704000000000001</v>
      </c>
      <c r="D14" s="23">
        <v>53.722000000000001</v>
      </c>
      <c r="E14" s="23">
        <v>59.008000000000003</v>
      </c>
      <c r="F14" s="23">
        <v>53.411999999999999</v>
      </c>
      <c r="G14" s="23">
        <v>57.637999999999998</v>
      </c>
      <c r="H14" s="23">
        <v>61.048999999999999</v>
      </c>
      <c r="I14" s="24">
        <v>41.177999999999997</v>
      </c>
      <c r="J14" s="24">
        <v>52.889000000000003</v>
      </c>
      <c r="K14" s="24">
        <v>57.405000000000001</v>
      </c>
      <c r="L14" s="24">
        <v>53.232999999999997</v>
      </c>
      <c r="M14" s="24">
        <v>57.094000000000001</v>
      </c>
      <c r="N14" s="25">
        <f t="shared" si="0"/>
        <v>622.12</v>
      </c>
    </row>
    <row r="15" spans="1:256">
      <c r="A15" s="22" t="s">
        <v>25</v>
      </c>
      <c r="B15" s="23">
        <v>170.55099999999999</v>
      </c>
      <c r="C15" s="23">
        <v>179.672</v>
      </c>
      <c r="D15" s="23">
        <v>174.548</v>
      </c>
      <c r="E15" s="23">
        <v>184.72399999999999</v>
      </c>
      <c r="F15" s="23">
        <v>165.33600000000001</v>
      </c>
      <c r="G15" s="23">
        <v>160.357</v>
      </c>
      <c r="H15" s="23">
        <v>182.40699999999998</v>
      </c>
      <c r="I15" s="24">
        <v>205.12299999999999</v>
      </c>
      <c r="J15" s="24">
        <v>203.72800000000001</v>
      </c>
      <c r="K15" s="24">
        <v>191.13300000000001</v>
      </c>
      <c r="L15" s="24">
        <v>167.02799999999999</v>
      </c>
      <c r="M15" s="24">
        <v>203.17899999999997</v>
      </c>
      <c r="N15" s="25">
        <f t="shared" si="0"/>
        <v>2187.7860000000001</v>
      </c>
    </row>
    <row r="16" spans="1:256">
      <c r="A16" s="18" t="s">
        <v>27</v>
      </c>
      <c r="B16" s="26">
        <f>SUM(B8:B15)</f>
        <v>4776.0420000000004</v>
      </c>
      <c r="C16" s="26">
        <f t="shared" ref="C16:M16" si="1">SUM(C8:C15)</f>
        <v>4823.1400000000003</v>
      </c>
      <c r="D16" s="26">
        <f t="shared" si="1"/>
        <v>4706.5079999999998</v>
      </c>
      <c r="E16" s="26">
        <f t="shared" si="1"/>
        <v>4661.6679999999997</v>
      </c>
      <c r="F16" s="26">
        <f t="shared" si="1"/>
        <v>4297.0570000000007</v>
      </c>
      <c r="G16" s="26">
        <f t="shared" si="1"/>
        <v>4087.6889999999999</v>
      </c>
      <c r="H16" s="26">
        <f t="shared" si="1"/>
        <v>4558.5659999999998</v>
      </c>
      <c r="I16" s="26">
        <f t="shared" si="1"/>
        <v>4681.4619999999995</v>
      </c>
      <c r="J16" s="26">
        <f t="shared" si="1"/>
        <v>4926.1030000000001</v>
      </c>
      <c r="K16" s="26">
        <v>4636.4519999999993</v>
      </c>
      <c r="L16" s="26">
        <v>4495.9059999999999</v>
      </c>
      <c r="M16" s="26">
        <f t="shared" si="1"/>
        <v>4970.6780000000008</v>
      </c>
      <c r="N16" s="27">
        <f>SUM(B16:M16)</f>
        <v>55621.271000000001</v>
      </c>
    </row>
    <row r="17" spans="1:14">
      <c r="A17" s="22"/>
      <c r="B17" s="23"/>
      <c r="C17" s="23"/>
      <c r="D17" s="23"/>
      <c r="E17" s="23"/>
      <c r="F17" s="23"/>
      <c r="G17" s="23"/>
      <c r="H17" s="23"/>
      <c r="I17" s="24"/>
      <c r="J17" s="24"/>
      <c r="K17" s="24"/>
      <c r="L17" s="24"/>
      <c r="M17" s="24"/>
      <c r="N17" s="25"/>
    </row>
    <row r="18" spans="1:14">
      <c r="A18" s="18" t="s">
        <v>28</v>
      </c>
      <c r="B18" s="26"/>
      <c r="C18" s="26"/>
      <c r="D18" s="26"/>
      <c r="E18" s="26"/>
      <c r="F18" s="26"/>
      <c r="G18" s="26"/>
      <c r="H18" s="26"/>
      <c r="I18" s="28"/>
      <c r="J18" s="28"/>
      <c r="K18" s="28"/>
      <c r="L18" s="28"/>
      <c r="M18" s="28"/>
      <c r="N18" s="25"/>
    </row>
    <row r="19" spans="1:14">
      <c r="A19" s="22" t="s">
        <v>29</v>
      </c>
      <c r="B19" s="23">
        <v>516.10199999999998</v>
      </c>
      <c r="C19" s="23">
        <v>652</v>
      </c>
      <c r="D19" s="23">
        <v>596.94100000000003</v>
      </c>
      <c r="E19" s="23">
        <v>598.79489799999999</v>
      </c>
      <c r="F19" s="23">
        <v>637.14811099999997</v>
      </c>
      <c r="G19" s="23">
        <v>620.79760499999998</v>
      </c>
      <c r="H19" s="23">
        <v>639.60692999999992</v>
      </c>
      <c r="I19" s="24">
        <v>619.14800000000002</v>
      </c>
      <c r="J19" s="24">
        <v>576.30604300000005</v>
      </c>
      <c r="K19" s="24">
        <v>686.65689999999995</v>
      </c>
      <c r="L19" s="24">
        <v>642.35699999999997</v>
      </c>
      <c r="M19" s="24">
        <v>720.61626799999999</v>
      </c>
      <c r="N19" s="25">
        <f>SUM(B19:M19)</f>
        <v>7506.4747549999993</v>
      </c>
    </row>
    <row r="20" spans="1:14">
      <c r="A20" s="22" t="s">
        <v>30</v>
      </c>
      <c r="B20" s="23">
        <v>722.63632100000018</v>
      </c>
      <c r="C20" s="23">
        <v>673.2541809999999</v>
      </c>
      <c r="D20" s="23">
        <v>808.35410899999999</v>
      </c>
      <c r="E20" s="23">
        <v>836.38184199999989</v>
      </c>
      <c r="F20" s="23">
        <v>736.81976199999997</v>
      </c>
      <c r="G20" s="23">
        <v>779.94015400000001</v>
      </c>
      <c r="H20" s="23">
        <v>803.62484400000005</v>
      </c>
      <c r="I20" s="24">
        <v>731.97799999999995</v>
      </c>
      <c r="J20" s="24">
        <v>691.74260400000003</v>
      </c>
      <c r="K20" s="24">
        <v>562.23192500000005</v>
      </c>
      <c r="L20" s="24">
        <v>626.15929100000005</v>
      </c>
      <c r="M20" s="24">
        <v>726.33362000000011</v>
      </c>
      <c r="N20" s="25">
        <f>SUM(B20:M20)</f>
        <v>8699.4566529999993</v>
      </c>
    </row>
    <row r="21" spans="1:14">
      <c r="A21" s="18" t="s">
        <v>31</v>
      </c>
      <c r="B21" s="26">
        <f>SUM(B19:B20)</f>
        <v>1238.7383210000003</v>
      </c>
      <c r="C21" s="26">
        <f t="shared" ref="C21:M21" si="2">SUM(C19:C20)</f>
        <v>1325.2541809999998</v>
      </c>
      <c r="D21" s="26">
        <f t="shared" si="2"/>
        <v>1405.2951090000001</v>
      </c>
      <c r="E21" s="26">
        <f t="shared" si="2"/>
        <v>1435.1767399999999</v>
      </c>
      <c r="F21" s="26">
        <f t="shared" si="2"/>
        <v>1373.9678730000001</v>
      </c>
      <c r="G21" s="26">
        <f t="shared" si="2"/>
        <v>1400.7377590000001</v>
      </c>
      <c r="H21" s="26">
        <f t="shared" si="2"/>
        <v>1443.2317739999999</v>
      </c>
      <c r="I21" s="26">
        <f t="shared" si="2"/>
        <v>1351.126</v>
      </c>
      <c r="J21" s="26">
        <f t="shared" si="2"/>
        <v>1268.0486470000001</v>
      </c>
      <c r="K21" s="26">
        <f t="shared" si="2"/>
        <v>1248.888825</v>
      </c>
      <c r="L21" s="26">
        <v>1268.5162909999999</v>
      </c>
      <c r="M21" s="26">
        <f t="shared" si="2"/>
        <v>1446.9498880000001</v>
      </c>
      <c r="N21" s="27">
        <f>SUM(B21:M21)</f>
        <v>16205.931408</v>
      </c>
    </row>
    <row r="22" spans="1:14">
      <c r="A22" s="22"/>
      <c r="B22" s="23"/>
      <c r="C22" s="23"/>
      <c r="D22" s="23"/>
      <c r="E22" s="23"/>
      <c r="F22" s="23"/>
      <c r="G22" s="23"/>
      <c r="N22" s="25"/>
    </row>
    <row r="23" spans="1:14">
      <c r="A23" s="18" t="s">
        <v>32</v>
      </c>
      <c r="B23" s="26"/>
      <c r="C23" s="26"/>
      <c r="D23" s="26"/>
      <c r="E23" s="26"/>
      <c r="F23" s="26"/>
      <c r="G23" s="26"/>
      <c r="H23" s="26"/>
      <c r="I23" s="28"/>
      <c r="J23" s="28"/>
      <c r="K23" s="28"/>
      <c r="L23" s="28"/>
      <c r="M23" s="28"/>
      <c r="N23" s="25"/>
    </row>
    <row r="24" spans="1:14">
      <c r="A24" s="22" t="s">
        <v>33</v>
      </c>
      <c r="B24" s="23">
        <v>1092.5929999999998</v>
      </c>
      <c r="C24" s="23">
        <v>1129.6949999999999</v>
      </c>
      <c r="D24" s="23">
        <v>1087.681</v>
      </c>
      <c r="E24" s="23">
        <v>1127.5320000000002</v>
      </c>
      <c r="F24" s="23">
        <v>1062.23</v>
      </c>
      <c r="G24" s="23">
        <v>880.52800000000002</v>
      </c>
      <c r="H24" s="23">
        <v>1095.2350000000001</v>
      </c>
      <c r="I24" s="24">
        <v>1079.6239999999998</v>
      </c>
      <c r="J24" s="24">
        <v>1116.4829999999999</v>
      </c>
      <c r="K24" s="24">
        <v>1147.7080000000001</v>
      </c>
      <c r="L24" s="24">
        <v>1083.492</v>
      </c>
      <c r="M24" s="24">
        <v>1080.998</v>
      </c>
      <c r="N24" s="25">
        <f>SUM(B24:M24)</f>
        <v>12983.799000000001</v>
      </c>
    </row>
    <row r="25" spans="1:14">
      <c r="A25" s="22" t="s">
        <v>65</v>
      </c>
      <c r="B25" s="23">
        <v>653.66573099999994</v>
      </c>
      <c r="C25" s="23">
        <v>600.04934500000002</v>
      </c>
      <c r="D25" s="23">
        <v>656.95193100000006</v>
      </c>
      <c r="E25" s="23">
        <v>796.58913500000006</v>
      </c>
      <c r="F25" s="23">
        <v>796.58900000000006</v>
      </c>
      <c r="G25" s="23">
        <v>761.50391000000002</v>
      </c>
      <c r="H25" s="23">
        <v>865.54621999999995</v>
      </c>
      <c r="I25" s="24">
        <v>875.56600000000003</v>
      </c>
      <c r="J25" s="24">
        <v>906.30912399999988</v>
      </c>
      <c r="K25" s="24">
        <v>821.15182200000004</v>
      </c>
      <c r="L25" s="24">
        <v>867.12001999999995</v>
      </c>
      <c r="M25" s="24">
        <v>871.38808000000006</v>
      </c>
      <c r="N25" s="25">
        <f>SUM(B25:M25)</f>
        <v>9472.4303180000006</v>
      </c>
    </row>
    <row r="26" spans="1:14">
      <c r="A26" s="22" t="s">
        <v>66</v>
      </c>
      <c r="B26" s="23">
        <v>212.518</v>
      </c>
      <c r="C26" s="29">
        <v>240</v>
      </c>
      <c r="D26" s="29">
        <v>257.00599999999997</v>
      </c>
      <c r="E26" s="29">
        <v>248.93700000000001</v>
      </c>
      <c r="F26" s="29">
        <v>239.066</v>
      </c>
      <c r="G26" s="29">
        <v>249.608</v>
      </c>
      <c r="H26" s="29">
        <v>247.78399999999999</v>
      </c>
      <c r="I26" s="30">
        <v>231.483</v>
      </c>
      <c r="J26" s="24">
        <v>238.23500000000001</v>
      </c>
      <c r="K26" s="24">
        <v>230.21</v>
      </c>
      <c r="L26" s="24">
        <v>218.334</v>
      </c>
      <c r="M26" s="24">
        <v>211.80799999999999</v>
      </c>
      <c r="N26" s="25">
        <f>SUM(B26:M26)</f>
        <v>2824.9889999999996</v>
      </c>
    </row>
    <row r="27" spans="1:14">
      <c r="A27" s="22" t="s">
        <v>67</v>
      </c>
      <c r="B27" s="23">
        <v>80.900000000000006</v>
      </c>
      <c r="C27" s="29">
        <v>0</v>
      </c>
      <c r="D27" s="29">
        <v>0</v>
      </c>
      <c r="E27" s="29">
        <v>26.6</v>
      </c>
      <c r="F27" s="29">
        <v>81.400000000000006</v>
      </c>
      <c r="G27" s="29">
        <v>84.412999999999997</v>
      </c>
      <c r="H27" s="29">
        <v>387.08100000000002</v>
      </c>
      <c r="I27" s="30">
        <v>173.84800000000001</v>
      </c>
      <c r="J27" s="24">
        <v>408.11579999999998</v>
      </c>
      <c r="K27" s="24">
        <v>258.96969999999999</v>
      </c>
      <c r="L27" s="24">
        <v>352.8759</v>
      </c>
      <c r="M27" s="24">
        <v>193.42750000000001</v>
      </c>
      <c r="N27" s="25">
        <f>SUM(B27:M27)</f>
        <v>2047.6308999999999</v>
      </c>
    </row>
    <row r="28" spans="1:14">
      <c r="A28" s="18" t="s">
        <v>35</v>
      </c>
      <c r="B28" s="26">
        <f>SUM(B24:B27)</f>
        <v>2039.676731</v>
      </c>
      <c r="C28" s="26">
        <f t="shared" ref="C28:M28" si="3">SUM(C24:C27)</f>
        <v>1969.7443450000001</v>
      </c>
      <c r="D28" s="26">
        <f t="shared" si="3"/>
        <v>2001.638931</v>
      </c>
      <c r="E28" s="26">
        <f t="shared" si="3"/>
        <v>2199.6581350000001</v>
      </c>
      <c r="F28" s="26">
        <f t="shared" si="3"/>
        <v>2179.2849999999999</v>
      </c>
      <c r="G28" s="26">
        <f t="shared" si="3"/>
        <v>1976.0529100000001</v>
      </c>
      <c r="H28" s="26">
        <f>SUM(H24:H27)</f>
        <v>2595.6462200000001</v>
      </c>
      <c r="I28" s="26">
        <f t="shared" si="3"/>
        <v>2360.5209999999997</v>
      </c>
      <c r="J28" s="26">
        <f t="shared" si="3"/>
        <v>2669.1429239999998</v>
      </c>
      <c r="K28" s="26">
        <f t="shared" si="3"/>
        <v>2458.039522</v>
      </c>
      <c r="L28" s="26">
        <v>2521.8219199999999</v>
      </c>
      <c r="M28" s="26">
        <f t="shared" si="3"/>
        <v>2357.62158</v>
      </c>
      <c r="N28" s="27">
        <f>SUM(B28:M28)</f>
        <v>27328.849217999996</v>
      </c>
    </row>
    <row r="29" spans="1:14">
      <c r="A29" s="18"/>
      <c r="B29" s="26"/>
      <c r="C29" s="26"/>
      <c r="D29" s="26"/>
      <c r="E29" s="26"/>
      <c r="F29" s="26"/>
      <c r="G29" s="26"/>
      <c r="H29" s="26"/>
      <c r="I29" s="28"/>
      <c r="J29" s="28"/>
      <c r="K29" s="28"/>
      <c r="L29" s="28"/>
      <c r="M29" s="28"/>
      <c r="N29" s="25"/>
    </row>
    <row r="30" spans="1:14">
      <c r="A30" s="18" t="s">
        <v>36</v>
      </c>
      <c r="B30" s="26"/>
      <c r="C30" s="26"/>
      <c r="D30" s="26"/>
      <c r="E30" s="26"/>
      <c r="F30" s="26"/>
      <c r="G30" s="26"/>
      <c r="H30" s="26"/>
      <c r="I30" s="28"/>
      <c r="J30" s="28"/>
      <c r="K30" s="28"/>
      <c r="L30" s="28"/>
      <c r="M30" s="28"/>
      <c r="N30" s="25"/>
    </row>
    <row r="31" spans="1:14">
      <c r="A31" s="22" t="s">
        <v>37</v>
      </c>
      <c r="B31" s="23">
        <v>895.98078587028397</v>
      </c>
      <c r="C31" s="23">
        <v>840.84512587028371</v>
      </c>
      <c r="D31" s="23">
        <v>695.73899957028402</v>
      </c>
      <c r="E31" s="23">
        <v>901.03963987028396</v>
      </c>
      <c r="F31" s="23">
        <v>793.96833078883617</v>
      </c>
      <c r="G31" s="23">
        <v>754.53254199999992</v>
      </c>
      <c r="H31" s="23">
        <v>804.37567033300513</v>
      </c>
      <c r="I31" s="24">
        <v>812.16399999999999</v>
      </c>
      <c r="J31" s="24">
        <v>856.62816604689317</v>
      </c>
      <c r="K31" s="24">
        <v>868.58372600000007</v>
      </c>
      <c r="L31" s="24">
        <v>835.27799500000003</v>
      </c>
      <c r="M31" s="24">
        <v>886.27059699999984</v>
      </c>
      <c r="N31" s="25">
        <f>SUM(B31:M31)</f>
        <v>9945.4055783498716</v>
      </c>
    </row>
    <row r="32" spans="1:14">
      <c r="A32" s="22" t="s">
        <v>38</v>
      </c>
      <c r="B32" s="23">
        <v>59.361999999999995</v>
      </c>
      <c r="C32" s="23">
        <v>14.695</v>
      </c>
      <c r="D32" s="23">
        <v>53.338999999999999</v>
      </c>
      <c r="E32" s="23">
        <v>42.673000000000002</v>
      </c>
      <c r="F32" s="23">
        <v>64.435999999999993</v>
      </c>
      <c r="G32" s="23">
        <v>51.801000000000002</v>
      </c>
      <c r="H32" s="23">
        <v>70.584000000000003</v>
      </c>
      <c r="I32" s="24">
        <v>53.87</v>
      </c>
      <c r="J32" s="24">
        <v>55.411999999999992</v>
      </c>
      <c r="K32" s="24">
        <v>43.966999999999999</v>
      </c>
      <c r="L32" s="24">
        <v>46.058000000000007</v>
      </c>
      <c r="M32" s="24">
        <v>55.208999999999996</v>
      </c>
      <c r="N32" s="25">
        <f>SUM(B32:M32)</f>
        <v>611.40599999999995</v>
      </c>
    </row>
    <row r="33" spans="1:14">
      <c r="A33" s="18" t="s">
        <v>39</v>
      </c>
      <c r="B33" s="26">
        <f>SUM(B31:B32)</f>
        <v>955.34278587028393</v>
      </c>
      <c r="C33" s="26">
        <f t="shared" ref="C33:M33" si="4">SUM(C31:C32)</f>
        <v>855.54012587028376</v>
      </c>
      <c r="D33" s="26">
        <f t="shared" si="4"/>
        <v>749.07799957028396</v>
      </c>
      <c r="E33" s="26">
        <f t="shared" si="4"/>
        <v>943.71263987028397</v>
      </c>
      <c r="F33" s="26">
        <f t="shared" si="4"/>
        <v>858.40433078883621</v>
      </c>
      <c r="G33" s="26">
        <f t="shared" si="4"/>
        <v>806.33354199999997</v>
      </c>
      <c r="H33" s="26">
        <f t="shared" si="4"/>
        <v>874.95967033300508</v>
      </c>
      <c r="I33" s="26">
        <f t="shared" si="4"/>
        <v>866.03399999999999</v>
      </c>
      <c r="J33" s="26">
        <f t="shared" si="4"/>
        <v>912.04016604689321</v>
      </c>
      <c r="K33" s="26">
        <f t="shared" si="4"/>
        <v>912.55072600000005</v>
      </c>
      <c r="L33" s="26">
        <v>881.33599500000003</v>
      </c>
      <c r="M33" s="26">
        <f t="shared" si="4"/>
        <v>941.47959699999979</v>
      </c>
      <c r="N33" s="27">
        <f>SUM(B33:M33)</f>
        <v>10556.811578349869</v>
      </c>
    </row>
    <row r="34" spans="1:14">
      <c r="N34" s="32"/>
    </row>
    <row r="35" spans="1:14">
      <c r="A35" s="18" t="s">
        <v>40</v>
      </c>
      <c r="B35" s="26"/>
      <c r="C35" s="26"/>
      <c r="D35" s="26"/>
      <c r="E35" s="26"/>
      <c r="F35" s="26"/>
      <c r="G35" s="26"/>
      <c r="H35" s="26"/>
      <c r="I35" s="28"/>
      <c r="J35" s="24"/>
      <c r="K35" s="24"/>
      <c r="L35" s="24"/>
      <c r="M35" s="24"/>
      <c r="N35" s="25"/>
    </row>
    <row r="36" spans="1:14">
      <c r="A36" s="22" t="s">
        <v>41</v>
      </c>
      <c r="B36" s="23">
        <v>7.3529999999999998</v>
      </c>
      <c r="C36" s="23">
        <v>6.79</v>
      </c>
      <c r="D36" s="23">
        <v>4.8959999999999999</v>
      </c>
      <c r="E36" s="23">
        <v>4.9089999999999998</v>
      </c>
      <c r="F36" s="23">
        <v>5.0069999999999997</v>
      </c>
      <c r="G36" s="23">
        <v>6.2240000000000002</v>
      </c>
      <c r="H36" s="23">
        <v>3.9809999999999999</v>
      </c>
      <c r="I36" s="24">
        <v>5.4710000000000001</v>
      </c>
      <c r="J36" s="24">
        <v>7.0330000000000004</v>
      </c>
      <c r="K36" s="24">
        <v>5.7910000000000004</v>
      </c>
      <c r="L36" s="24">
        <v>6.35</v>
      </c>
      <c r="M36" s="24">
        <v>5.48</v>
      </c>
      <c r="N36" s="25">
        <f>SUM(B36:M36)</f>
        <v>69.284999999999997</v>
      </c>
    </row>
    <row r="37" spans="1:14">
      <c r="A37" s="22" t="s">
        <v>42</v>
      </c>
      <c r="B37" s="23">
        <v>995.41399999999999</v>
      </c>
      <c r="C37" s="23">
        <v>1190.4929999999999</v>
      </c>
      <c r="D37" s="23">
        <v>1134.5980000000002</v>
      </c>
      <c r="E37" s="23">
        <v>1117.365</v>
      </c>
      <c r="F37" s="23">
        <v>1106.1650000000002</v>
      </c>
      <c r="G37" s="23">
        <v>845.17699999999991</v>
      </c>
      <c r="H37" s="23">
        <v>831.7940000000001</v>
      </c>
      <c r="I37" s="24">
        <v>1057.2840000000001</v>
      </c>
      <c r="J37" s="24">
        <v>1171.627</v>
      </c>
      <c r="K37" s="24">
        <v>1121.9190000000001</v>
      </c>
      <c r="L37" s="24">
        <v>1110.673</v>
      </c>
      <c r="M37" s="24">
        <v>1115.8499999999999</v>
      </c>
      <c r="N37" s="25">
        <f>SUM(B37:M37)</f>
        <v>12798.359</v>
      </c>
    </row>
    <row r="38" spans="1:14">
      <c r="A38" s="18" t="s">
        <v>43</v>
      </c>
      <c r="B38" s="26">
        <f>SUM(B36:B37)</f>
        <v>1002.7669999999999</v>
      </c>
      <c r="C38" s="26">
        <f t="shared" ref="C38:M38" si="5">SUM(C36:C37)</f>
        <v>1197.2829999999999</v>
      </c>
      <c r="D38" s="26">
        <f t="shared" si="5"/>
        <v>1139.4940000000001</v>
      </c>
      <c r="E38" s="26">
        <f t="shared" si="5"/>
        <v>1122.2740000000001</v>
      </c>
      <c r="F38" s="26">
        <f t="shared" si="5"/>
        <v>1111.1720000000003</v>
      </c>
      <c r="G38" s="26">
        <f t="shared" si="5"/>
        <v>851.40099999999995</v>
      </c>
      <c r="H38" s="26">
        <f t="shared" si="5"/>
        <v>835.77500000000009</v>
      </c>
      <c r="I38" s="26">
        <f t="shared" si="5"/>
        <v>1062.7550000000001</v>
      </c>
      <c r="J38" s="26">
        <f t="shared" si="5"/>
        <v>1178.6599999999999</v>
      </c>
      <c r="K38" s="26">
        <f t="shared" si="5"/>
        <v>1127.71</v>
      </c>
      <c r="L38" s="26">
        <v>1117.0229999999999</v>
      </c>
      <c r="M38" s="26">
        <f t="shared" si="5"/>
        <v>1121.33</v>
      </c>
      <c r="N38" s="27">
        <f>SUM(B38:M38)</f>
        <v>12867.644</v>
      </c>
    </row>
    <row r="39" spans="1:14">
      <c r="A39" s="22"/>
      <c r="B39" s="33"/>
      <c r="C39" s="33"/>
      <c r="D39" s="33"/>
      <c r="E39" s="33"/>
      <c r="F39" s="33"/>
      <c r="G39" s="33"/>
      <c r="H39" s="33"/>
      <c r="I39" s="34"/>
      <c r="J39" s="34"/>
      <c r="K39" s="34"/>
      <c r="L39" s="34"/>
      <c r="M39" s="34"/>
      <c r="N39" s="25"/>
    </row>
    <row r="40" spans="1:14">
      <c r="A40" s="18" t="s">
        <v>44</v>
      </c>
      <c r="B40" s="26"/>
      <c r="C40" s="26"/>
      <c r="D40" s="26"/>
      <c r="E40" s="26"/>
      <c r="F40" s="26"/>
      <c r="G40" s="26"/>
      <c r="H40" s="26"/>
      <c r="I40" s="28"/>
      <c r="J40" s="28"/>
      <c r="K40" s="28"/>
      <c r="L40" s="28"/>
      <c r="M40" s="28"/>
      <c r="N40" s="25"/>
    </row>
    <row r="41" spans="1:14">
      <c r="A41" s="22" t="s">
        <v>45</v>
      </c>
      <c r="B41" s="23">
        <v>2683.9</v>
      </c>
      <c r="C41" s="23">
        <v>2741</v>
      </c>
      <c r="D41" s="23">
        <v>2623</v>
      </c>
      <c r="E41" s="23">
        <v>2748.5057310000002</v>
      </c>
      <c r="F41" s="23">
        <v>2740.6589480000007</v>
      </c>
      <c r="G41" s="23">
        <v>2651.9317889999998</v>
      </c>
      <c r="H41" s="23">
        <v>2660.9228730000004</v>
      </c>
      <c r="I41" s="24">
        <v>2676.8090000000002</v>
      </c>
      <c r="J41" s="24">
        <v>2783.0782530000001</v>
      </c>
      <c r="K41" s="24">
        <v>2756.0795409999996</v>
      </c>
      <c r="L41" s="24">
        <v>2650.7336379999997</v>
      </c>
      <c r="M41" s="24">
        <v>2777.8795169999994</v>
      </c>
      <c r="N41" s="25">
        <f>SUM(B41:M41)</f>
        <v>32494.49929</v>
      </c>
    </row>
    <row r="42" spans="1:14">
      <c r="A42" s="22" t="s">
        <v>46</v>
      </c>
      <c r="B42" s="23">
        <v>2971</v>
      </c>
      <c r="C42" s="23">
        <v>3063</v>
      </c>
      <c r="D42" s="23">
        <v>2937</v>
      </c>
      <c r="E42" s="35">
        <v>3028</v>
      </c>
      <c r="F42" s="23">
        <v>3023</v>
      </c>
      <c r="G42" s="35">
        <v>2947</v>
      </c>
      <c r="H42" s="35">
        <v>3088</v>
      </c>
      <c r="I42" s="36">
        <v>2981</v>
      </c>
      <c r="J42" s="36">
        <v>3077</v>
      </c>
      <c r="K42" s="36">
        <v>3099</v>
      </c>
      <c r="L42" s="36">
        <v>1932</v>
      </c>
      <c r="M42" s="36">
        <v>3040.0830000000001</v>
      </c>
      <c r="N42" s="25">
        <f>SUM(B42:M42)</f>
        <v>35186.082999999999</v>
      </c>
    </row>
    <row r="43" spans="1:14">
      <c r="A43" s="18" t="s">
        <v>47</v>
      </c>
      <c r="B43" s="26">
        <f>+B41+B42</f>
        <v>5654.9</v>
      </c>
      <c r="C43" s="26">
        <f t="shared" ref="C43:M43" si="6">+C41+C42</f>
        <v>5804</v>
      </c>
      <c r="D43" s="26">
        <f t="shared" si="6"/>
        <v>5560</v>
      </c>
      <c r="E43" s="26">
        <f t="shared" si="6"/>
        <v>5776.5057310000002</v>
      </c>
      <c r="F43" s="26">
        <f t="shared" si="6"/>
        <v>5763.6589480000002</v>
      </c>
      <c r="G43" s="26">
        <f t="shared" si="6"/>
        <v>5598.9317890000002</v>
      </c>
      <c r="H43" s="26">
        <f t="shared" si="6"/>
        <v>5748.9228730000004</v>
      </c>
      <c r="I43" s="26">
        <f t="shared" si="6"/>
        <v>5657.8090000000002</v>
      </c>
      <c r="J43" s="26">
        <f t="shared" si="6"/>
        <v>5860.0782529999997</v>
      </c>
      <c r="K43" s="26">
        <f t="shared" si="6"/>
        <v>5855.0795409999992</v>
      </c>
      <c r="L43" s="26">
        <f t="shared" si="6"/>
        <v>4582.7336379999997</v>
      </c>
      <c r="M43" s="26">
        <f t="shared" si="6"/>
        <v>5817.9625169999999</v>
      </c>
      <c r="N43" s="27">
        <f>SUM(B43:M43)</f>
        <v>67680.582290000006</v>
      </c>
    </row>
    <row r="44" spans="1:14">
      <c r="A44" s="22"/>
      <c r="B44" s="23"/>
      <c r="C44" s="23"/>
      <c r="D44" s="23"/>
      <c r="E44" s="23"/>
      <c r="F44" s="23"/>
      <c r="G44" s="23"/>
      <c r="H44" s="23"/>
      <c r="I44" s="24"/>
      <c r="J44" s="24"/>
      <c r="K44" s="24"/>
      <c r="L44" s="24"/>
      <c r="M44" s="24"/>
      <c r="N44" s="27"/>
    </row>
    <row r="45" spans="1:14">
      <c r="A45" s="22" t="s">
        <v>48</v>
      </c>
      <c r="B45" s="26">
        <v>1179.1220000000001</v>
      </c>
      <c r="C45" s="26">
        <v>1227.453</v>
      </c>
      <c r="D45" s="26">
        <v>1213.6410000000001</v>
      </c>
      <c r="E45" s="26">
        <v>1056.5935039999999</v>
      </c>
      <c r="F45" s="26">
        <v>1264.4357669999999</v>
      </c>
      <c r="G45" s="26">
        <v>708.54099100000008</v>
      </c>
      <c r="H45" s="26">
        <v>265.30849000000001</v>
      </c>
      <c r="I45" s="28">
        <v>1267.713</v>
      </c>
      <c r="J45" s="28">
        <v>1279.4545419999997</v>
      </c>
      <c r="K45" s="28">
        <v>1367.365957</v>
      </c>
      <c r="L45" s="28">
        <v>1289.7479710000002</v>
      </c>
      <c r="M45" s="28">
        <v>1376.769405</v>
      </c>
      <c r="N45" s="27">
        <f>SUM(B45:M45)</f>
        <v>13496.145627000002</v>
      </c>
    </row>
    <row r="46" spans="1:14">
      <c r="A46" s="22"/>
      <c r="B46" s="23"/>
      <c r="C46" s="23"/>
      <c r="D46" s="23"/>
      <c r="E46" s="23"/>
      <c r="F46" s="23"/>
      <c r="G46" s="23"/>
      <c r="H46" s="23"/>
      <c r="I46" s="24"/>
      <c r="J46" s="24"/>
      <c r="K46" s="24"/>
      <c r="L46" s="24"/>
      <c r="M46" s="24"/>
      <c r="N46" s="27"/>
    </row>
    <row r="47" spans="1:14">
      <c r="A47" s="18" t="s">
        <v>49</v>
      </c>
      <c r="B47" s="26">
        <f>+B16+B21+B28+B33+B38+B43+B45</f>
        <v>16846.588837870284</v>
      </c>
      <c r="C47" s="26">
        <f t="shared" ref="C47:M47" si="7">+C16+C21+C28+C33+C38+C43+C45</f>
        <v>17202.414651870284</v>
      </c>
      <c r="D47" s="26">
        <f t="shared" si="7"/>
        <v>16775.655039570283</v>
      </c>
      <c r="E47" s="26">
        <f t="shared" si="7"/>
        <v>17195.588749870283</v>
      </c>
      <c r="F47" s="26">
        <f t="shared" si="7"/>
        <v>16847.980918788839</v>
      </c>
      <c r="G47" s="26">
        <f t="shared" si="7"/>
        <v>15429.686991</v>
      </c>
      <c r="H47" s="26">
        <f t="shared" si="7"/>
        <v>16322.410027333004</v>
      </c>
      <c r="I47" s="26">
        <f t="shared" si="7"/>
        <v>17247.420000000002</v>
      </c>
      <c r="J47" s="26">
        <f t="shared" si="7"/>
        <v>18093.527532046894</v>
      </c>
      <c r="K47" s="26">
        <f t="shared" si="7"/>
        <v>17606.086571</v>
      </c>
      <c r="L47" s="26">
        <f t="shared" si="7"/>
        <v>16157.084814999998</v>
      </c>
      <c r="M47" s="26">
        <f t="shared" si="7"/>
        <v>18032.790987</v>
      </c>
      <c r="N47" s="27">
        <f>SUM(B47:M47)</f>
        <v>203757.23512134986</v>
      </c>
    </row>
    <row r="48" spans="1:14">
      <c r="A48" s="37" t="s">
        <v>68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</row>
    <row r="49" spans="1:14" ht="12.75">
      <c r="A49" s="39" t="s">
        <v>69</v>
      </c>
      <c r="B49" s="40"/>
      <c r="C49" s="40"/>
      <c r="D49" s="40"/>
      <c r="E49" s="41"/>
      <c r="F49" s="41"/>
      <c r="G49" s="41"/>
      <c r="H49" s="42"/>
      <c r="I49" s="43"/>
      <c r="J49" s="43"/>
      <c r="K49" s="42"/>
      <c r="L49" s="42"/>
      <c r="M49" s="42"/>
      <c r="N49" s="44"/>
    </row>
    <row r="50" spans="1:14">
      <c r="B50" s="45"/>
      <c r="C50" s="45"/>
      <c r="D50" s="45"/>
      <c r="E50" s="45"/>
      <c r="F50" s="45"/>
      <c r="G50" s="45"/>
      <c r="H50" s="45"/>
      <c r="N50" s="45"/>
    </row>
    <row r="51" spans="1:14">
      <c r="A51" s="46" t="s">
        <v>70</v>
      </c>
    </row>
  </sheetData>
  <mergeCells count="2">
    <mergeCell ref="A4:N4"/>
    <mergeCell ref="A5:C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A185-D09D-49E0-BF03-D78D1CE1C9D0}">
  <sheetPr>
    <pageSetUpPr fitToPage="1"/>
  </sheetPr>
  <dimension ref="A1:O49"/>
  <sheetViews>
    <sheetView workbookViewId="0">
      <pane xSplit="1" ySplit="6" topLeftCell="E10" activePane="bottomRight" state="frozen"/>
      <selection pane="topRight" activeCell="B1" sqref="B1"/>
      <selection pane="bottomLeft" activeCell="A7" sqref="A7"/>
      <selection pane="bottomRight" activeCell="E16" sqref="E16"/>
    </sheetView>
  </sheetViews>
  <sheetFormatPr defaultRowHeight="12"/>
  <cols>
    <col min="1" max="1" width="36.85546875" style="46" customWidth="1"/>
    <col min="2" max="2" width="10.42578125" style="69" customWidth="1"/>
    <col min="3" max="3" width="10.28515625" style="69" customWidth="1"/>
    <col min="4" max="4" width="10.42578125" style="69" customWidth="1"/>
    <col min="5" max="6" width="10.28515625" style="69" customWidth="1"/>
    <col min="7" max="7" width="10.85546875" style="69" customWidth="1"/>
    <col min="8" max="8" width="9.140625" style="69"/>
    <col min="9" max="11" width="10.28515625" style="69" bestFit="1" customWidth="1"/>
    <col min="12" max="13" width="10.28515625" style="69" customWidth="1"/>
    <col min="14" max="16384" width="9.140625" style="69"/>
  </cols>
  <sheetData>
    <row r="1" spans="1:15">
      <c r="A1" s="1" t="s">
        <v>0</v>
      </c>
    </row>
    <row r="2" spans="1:15">
      <c r="A2" s="1"/>
    </row>
    <row r="3" spans="1:15">
      <c r="A3" s="1" t="s">
        <v>84</v>
      </c>
    </row>
    <row r="4" spans="1:15">
      <c r="A4" s="234" t="s">
        <v>2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</row>
    <row r="5" spans="1:15" ht="22.5" customHeight="1">
      <c r="A5" s="263" t="s">
        <v>3</v>
      </c>
      <c r="B5" s="263"/>
      <c r="C5" s="263"/>
    </row>
    <row r="6" spans="1:15" s="72" customFormat="1" ht="25.5" customHeight="1">
      <c r="A6" s="70" t="s">
        <v>51</v>
      </c>
      <c r="B6" s="71" t="s">
        <v>74</v>
      </c>
      <c r="C6" s="71" t="s">
        <v>53</v>
      </c>
      <c r="D6" s="71" t="s">
        <v>75</v>
      </c>
      <c r="E6" s="71" t="s">
        <v>55</v>
      </c>
      <c r="F6" s="71" t="s">
        <v>76</v>
      </c>
      <c r="G6" s="71" t="s">
        <v>77</v>
      </c>
      <c r="H6" s="71" t="s">
        <v>78</v>
      </c>
      <c r="I6" s="71" t="s">
        <v>79</v>
      </c>
      <c r="J6" s="71" t="s">
        <v>85</v>
      </c>
      <c r="K6" s="71" t="s">
        <v>80</v>
      </c>
      <c r="L6" s="71" t="s">
        <v>81</v>
      </c>
      <c r="M6" s="71" t="s">
        <v>82</v>
      </c>
      <c r="N6" s="71" t="s">
        <v>83</v>
      </c>
    </row>
    <row r="7" spans="1:15" s="10" customFormat="1" ht="16.5" customHeight="1">
      <c r="A7" s="6" t="s">
        <v>17</v>
      </c>
      <c r="B7" s="6"/>
      <c r="C7" s="6"/>
      <c r="D7" s="6"/>
      <c r="E7" s="6"/>
      <c r="F7" s="6"/>
      <c r="G7" s="6"/>
      <c r="H7" s="6"/>
      <c r="I7" s="6"/>
      <c r="J7" s="6"/>
      <c r="K7" s="6"/>
      <c r="L7" s="73"/>
      <c r="M7" s="73"/>
      <c r="N7" s="74"/>
      <c r="O7" s="74"/>
    </row>
    <row r="8" spans="1:15" ht="12" customHeight="1">
      <c r="A8" s="8" t="s">
        <v>18</v>
      </c>
      <c r="B8" s="75">
        <v>1057.133</v>
      </c>
      <c r="C8" s="75">
        <v>986.47699999999998</v>
      </c>
      <c r="D8" s="75">
        <v>1082.7570000000001</v>
      </c>
      <c r="E8" s="75">
        <v>1199.3</v>
      </c>
      <c r="F8" s="75">
        <v>1100.913</v>
      </c>
      <c r="G8" s="75">
        <v>1058.857</v>
      </c>
      <c r="H8" s="75">
        <v>1202.6680000000001</v>
      </c>
      <c r="I8" s="76">
        <v>1148.4069999999999</v>
      </c>
      <c r="J8" s="76">
        <v>1222.6190000000001</v>
      </c>
      <c r="K8" s="76">
        <v>1209.3129999999999</v>
      </c>
      <c r="L8" s="76">
        <v>997.39699999999993</v>
      </c>
      <c r="M8" s="76">
        <v>1295.2249999999999</v>
      </c>
      <c r="N8" s="77">
        <f>SUM(B8:M8)</f>
        <v>13561.066000000001</v>
      </c>
    </row>
    <row r="9" spans="1:15">
      <c r="A9" s="8" t="s">
        <v>19</v>
      </c>
      <c r="B9" s="75">
        <v>765.66399999999999</v>
      </c>
      <c r="C9" s="75">
        <v>784.98599999999999</v>
      </c>
      <c r="D9" s="75">
        <v>774.59900000000005</v>
      </c>
      <c r="E9" s="75">
        <v>686.42899999999997</v>
      </c>
      <c r="F9" s="75">
        <v>673.18499999999995</v>
      </c>
      <c r="G9" s="75">
        <v>656.06999999999994</v>
      </c>
      <c r="H9" s="75">
        <v>708.14400000000001</v>
      </c>
      <c r="I9" s="76">
        <v>777.86800000000005</v>
      </c>
      <c r="J9" s="76">
        <v>782.4380000000001</v>
      </c>
      <c r="K9" s="76">
        <v>752.726</v>
      </c>
      <c r="L9" s="76">
        <v>721.00099999999998</v>
      </c>
      <c r="M9" s="76">
        <v>796.851</v>
      </c>
      <c r="N9" s="77">
        <f t="shared" ref="N9:N15" si="0">SUM(B9:M9)</f>
        <v>8879.9610000000011</v>
      </c>
    </row>
    <row r="10" spans="1:15">
      <c r="A10" s="8" t="s">
        <v>20</v>
      </c>
      <c r="B10" s="75">
        <v>1235.549</v>
      </c>
      <c r="C10" s="75">
        <v>1205.7360000000001</v>
      </c>
      <c r="D10" s="75">
        <v>1199.9480000000001</v>
      </c>
      <c r="E10" s="75">
        <v>1254.175</v>
      </c>
      <c r="F10" s="75">
        <v>1236.107</v>
      </c>
      <c r="G10" s="75">
        <v>719.3850000000001</v>
      </c>
      <c r="H10" s="75">
        <v>580.73900000000003</v>
      </c>
      <c r="I10" s="76">
        <v>1005.693</v>
      </c>
      <c r="J10" s="76">
        <v>1344.354</v>
      </c>
      <c r="K10" s="76">
        <v>1373.2849999999999</v>
      </c>
      <c r="L10" s="76">
        <v>1188.806</v>
      </c>
      <c r="M10" s="76">
        <v>1316.6990000000001</v>
      </c>
      <c r="N10" s="77">
        <f t="shared" si="0"/>
        <v>13660.476000000001</v>
      </c>
    </row>
    <row r="11" spans="1:15">
      <c r="A11" s="8" t="s">
        <v>21</v>
      </c>
      <c r="B11" s="75">
        <v>535.17600000000004</v>
      </c>
      <c r="C11" s="75">
        <v>601.91399999999999</v>
      </c>
      <c r="D11" s="75">
        <v>470.52300000000002</v>
      </c>
      <c r="E11" s="75">
        <v>466.76299999999998</v>
      </c>
      <c r="F11" s="75">
        <v>524.96100000000001</v>
      </c>
      <c r="G11" s="75">
        <v>343.41300000000001</v>
      </c>
      <c r="H11" s="75">
        <v>560.66300000000001</v>
      </c>
      <c r="I11" s="76">
        <v>610.03399999999999</v>
      </c>
      <c r="J11" s="76">
        <v>720.65099999999995</v>
      </c>
      <c r="K11" s="76">
        <v>717.08200000000011</v>
      </c>
      <c r="L11" s="76">
        <v>642.88600000000008</v>
      </c>
      <c r="M11" s="76">
        <v>683.89699999999993</v>
      </c>
      <c r="N11" s="77">
        <f t="shared" si="0"/>
        <v>6877.9630000000006</v>
      </c>
    </row>
    <row r="12" spans="1:15">
      <c r="A12" s="8" t="s">
        <v>22</v>
      </c>
      <c r="B12" s="75">
        <v>514.30999999999995</v>
      </c>
      <c r="C12" s="75">
        <v>526.77</v>
      </c>
      <c r="D12" s="75">
        <v>509.697</v>
      </c>
      <c r="E12" s="75">
        <v>538.80899999999997</v>
      </c>
      <c r="F12" s="75">
        <v>390.38299999999998</v>
      </c>
      <c r="G12" s="75">
        <v>341.31699999999995</v>
      </c>
      <c r="H12" s="75">
        <v>558.73299999999995</v>
      </c>
      <c r="I12" s="76">
        <v>549.06100000000004</v>
      </c>
      <c r="J12" s="76">
        <v>571.90599999999995</v>
      </c>
      <c r="K12" s="76">
        <v>595.42000000000007</v>
      </c>
      <c r="L12" s="76">
        <v>532.10300000000007</v>
      </c>
      <c r="M12" s="76">
        <v>578.91899999999998</v>
      </c>
      <c r="N12" s="77">
        <f t="shared" si="0"/>
        <v>6207.4280000000008</v>
      </c>
    </row>
    <row r="13" spans="1:15">
      <c r="A13" s="8" t="s">
        <v>23</v>
      </c>
      <c r="B13" s="75">
        <v>98.064999999999998</v>
      </c>
      <c r="C13" s="75">
        <v>100.81100000000001</v>
      </c>
      <c r="D13" s="75">
        <v>97.141000000000005</v>
      </c>
      <c r="E13" s="75">
        <v>93.631</v>
      </c>
      <c r="F13" s="75">
        <v>100.874</v>
      </c>
      <c r="G13" s="75">
        <v>95.84</v>
      </c>
      <c r="H13" s="75">
        <v>95.844999999999999</v>
      </c>
      <c r="I13" s="76">
        <v>88.084000000000003</v>
      </c>
      <c r="J13" s="76">
        <v>83.569000000000003</v>
      </c>
      <c r="K13" s="76">
        <v>81.099999999999994</v>
      </c>
      <c r="L13" s="76">
        <v>86.396000000000001</v>
      </c>
      <c r="M13" s="76">
        <v>96.323999999999998</v>
      </c>
      <c r="N13" s="77">
        <f t="shared" si="0"/>
        <v>1117.68</v>
      </c>
    </row>
    <row r="14" spans="1:15">
      <c r="A14" s="8" t="s">
        <v>24</v>
      </c>
      <c r="B14" s="75">
        <v>54.231000000000002</v>
      </c>
      <c r="C14" s="75">
        <v>59.348999999999997</v>
      </c>
      <c r="D14" s="75">
        <v>56.201999999999998</v>
      </c>
      <c r="E14" s="75">
        <v>51.109000000000002</v>
      </c>
      <c r="F14" s="75">
        <v>59.008000000000003</v>
      </c>
      <c r="G14" s="75">
        <v>55.134</v>
      </c>
      <c r="H14" s="75">
        <v>58.548999999999999</v>
      </c>
      <c r="I14" s="76">
        <v>52.77</v>
      </c>
      <c r="J14" s="76">
        <v>57.084000000000003</v>
      </c>
      <c r="K14" s="76">
        <v>55.024000000000001</v>
      </c>
      <c r="L14" s="76">
        <v>49.204999999999998</v>
      </c>
      <c r="M14" s="76">
        <v>43.341000000000001</v>
      </c>
      <c r="N14" s="77">
        <f t="shared" si="0"/>
        <v>651.00600000000009</v>
      </c>
    </row>
    <row r="15" spans="1:15">
      <c r="A15" s="8" t="s">
        <v>25</v>
      </c>
      <c r="B15" s="75">
        <v>167.18700000000001</v>
      </c>
      <c r="C15" s="75">
        <v>207.17699999999999</v>
      </c>
      <c r="D15" s="75">
        <v>186.46899999999999</v>
      </c>
      <c r="E15" s="75">
        <v>193.13800000000001</v>
      </c>
      <c r="F15" s="75">
        <v>176.68</v>
      </c>
      <c r="G15" s="75">
        <v>118.02500000000001</v>
      </c>
      <c r="H15" s="75">
        <v>196.89800000000002</v>
      </c>
      <c r="I15" s="76">
        <v>179.47900000000001</v>
      </c>
      <c r="J15" s="76">
        <v>163.047</v>
      </c>
      <c r="K15" s="76">
        <v>144.72899999999998</v>
      </c>
      <c r="L15" s="76">
        <v>125.97</v>
      </c>
      <c r="M15" s="76">
        <v>149.499</v>
      </c>
      <c r="N15" s="77">
        <f t="shared" si="0"/>
        <v>2008.2980000000002</v>
      </c>
    </row>
    <row r="16" spans="1:15">
      <c r="A16" s="6" t="s">
        <v>27</v>
      </c>
      <c r="B16" s="78">
        <f>SUM(B8:B15)</f>
        <v>4427.3149999999996</v>
      </c>
      <c r="C16" s="78">
        <f>SUM(C8:C15)</f>
        <v>4473.2199999999993</v>
      </c>
      <c r="D16" s="78">
        <f>SUM(D8:D15)</f>
        <v>4377.3360000000002</v>
      </c>
      <c r="E16" s="78">
        <f>SUM(E8:E15)</f>
        <v>4483.3540000000003</v>
      </c>
      <c r="F16" s="78">
        <f>SUM(F8:F15)</f>
        <v>4262.1109999999999</v>
      </c>
      <c r="G16" s="78">
        <v>3388.0410000000002</v>
      </c>
      <c r="H16" s="78">
        <f t="shared" ref="H16:M16" si="1">SUM(H8:H15)</f>
        <v>3962.239</v>
      </c>
      <c r="I16" s="79">
        <f t="shared" si="1"/>
        <v>4411.3960000000006</v>
      </c>
      <c r="J16" s="79">
        <f t="shared" si="1"/>
        <v>4945.6679999999997</v>
      </c>
      <c r="K16" s="79">
        <f t="shared" si="1"/>
        <v>4928.679000000001</v>
      </c>
      <c r="L16" s="79">
        <f t="shared" si="1"/>
        <v>4343.7640000000001</v>
      </c>
      <c r="M16" s="79">
        <f t="shared" si="1"/>
        <v>4960.7550000000001</v>
      </c>
      <c r="N16" s="80">
        <f>SUM(B16:M16)</f>
        <v>52963.878000000004</v>
      </c>
    </row>
    <row r="17" spans="1:14">
      <c r="A17" s="8"/>
      <c r="B17" s="75"/>
      <c r="C17" s="75"/>
      <c r="D17" s="75"/>
      <c r="E17" s="75"/>
      <c r="F17" s="75"/>
      <c r="G17" s="75"/>
      <c r="H17" s="75"/>
      <c r="I17" s="76"/>
      <c r="J17" s="76"/>
      <c r="K17" s="76"/>
      <c r="L17" s="76"/>
      <c r="M17" s="76"/>
      <c r="N17" s="77"/>
    </row>
    <row r="18" spans="1:14">
      <c r="A18" s="6" t="s">
        <v>28</v>
      </c>
      <c r="B18" s="78"/>
      <c r="C18" s="78"/>
      <c r="D18" s="78"/>
      <c r="E18" s="78"/>
      <c r="F18" s="78"/>
      <c r="G18" s="78"/>
      <c r="H18" s="78"/>
      <c r="I18" s="79"/>
      <c r="J18" s="79"/>
      <c r="K18" s="79"/>
      <c r="L18" s="79"/>
      <c r="M18" s="79"/>
      <c r="N18" s="77"/>
    </row>
    <row r="19" spans="1:14">
      <c r="A19" s="8" t="s">
        <v>29</v>
      </c>
      <c r="B19" s="75">
        <v>498.94200000000001</v>
      </c>
      <c r="C19" s="75">
        <v>385.71600000000001</v>
      </c>
      <c r="D19" s="75">
        <v>347.86700000000002</v>
      </c>
      <c r="E19" s="75">
        <v>392.63600000000002</v>
      </c>
      <c r="F19" s="75">
        <v>616.33799999999997</v>
      </c>
      <c r="G19" s="75">
        <v>518.18299999999999</v>
      </c>
      <c r="H19" s="75">
        <v>543</v>
      </c>
      <c r="I19" s="76">
        <v>630.45000000000005</v>
      </c>
      <c r="J19" s="76">
        <v>659.1</v>
      </c>
      <c r="K19" s="76">
        <v>668.32230000000004</v>
      </c>
      <c r="L19" s="76">
        <v>584.59400000000005</v>
      </c>
      <c r="M19" s="76">
        <v>709.27679999999998</v>
      </c>
      <c r="N19" s="77">
        <f>SUM(B19:M19)</f>
        <v>6554.4250999999995</v>
      </c>
    </row>
    <row r="20" spans="1:14">
      <c r="A20" s="8" t="s">
        <v>30</v>
      </c>
      <c r="B20" s="75">
        <v>761.45</v>
      </c>
      <c r="C20" s="75">
        <v>727.58199999999999</v>
      </c>
      <c r="D20" s="75">
        <v>554.52099999999996</v>
      </c>
      <c r="E20" s="75">
        <v>464.00599999999997</v>
      </c>
      <c r="F20" s="75">
        <v>523.61300000000006</v>
      </c>
      <c r="G20" s="75">
        <v>504.93094399999995</v>
      </c>
      <c r="H20" s="75">
        <v>805.18904700000007</v>
      </c>
      <c r="I20" s="76">
        <v>669.31700000000001</v>
      </c>
      <c r="J20" s="76">
        <v>815.07623599999999</v>
      </c>
      <c r="K20" s="76">
        <v>796.23204099999998</v>
      </c>
      <c r="L20" s="76">
        <v>724.87252799999999</v>
      </c>
      <c r="M20" s="76">
        <v>818.11023599999999</v>
      </c>
      <c r="N20" s="77">
        <f>SUM(B20:M20)</f>
        <v>8164.9000319999996</v>
      </c>
    </row>
    <row r="21" spans="1:14">
      <c r="A21" s="6" t="s">
        <v>31</v>
      </c>
      <c r="B21" s="78">
        <f>SUM(B19:B20)</f>
        <v>1260.3920000000001</v>
      </c>
      <c r="C21" s="78">
        <f>SUM(C19:C20)</f>
        <v>1113.298</v>
      </c>
      <c r="D21" s="78">
        <f>SUM(D19:D20)</f>
        <v>902.38799999999992</v>
      </c>
      <c r="E21" s="78">
        <f>SUM(E19:E20)</f>
        <v>856.64200000000005</v>
      </c>
      <c r="F21" s="78">
        <f>SUM(F19:F20)</f>
        <v>1139.951</v>
      </c>
      <c r="G21" s="78">
        <v>1023.1139439999999</v>
      </c>
      <c r="H21" s="78">
        <f t="shared" ref="H21:M21" si="2">SUM(H19:H20)</f>
        <v>1348.1890470000001</v>
      </c>
      <c r="I21" s="79">
        <f t="shared" si="2"/>
        <v>1299.7670000000001</v>
      </c>
      <c r="J21" s="79">
        <f t="shared" si="2"/>
        <v>1474.176236</v>
      </c>
      <c r="K21" s="79">
        <f t="shared" si="2"/>
        <v>1464.554341</v>
      </c>
      <c r="L21" s="79">
        <f t="shared" si="2"/>
        <v>1309.4665279999999</v>
      </c>
      <c r="M21" s="79">
        <f t="shared" si="2"/>
        <v>1527.3870360000001</v>
      </c>
      <c r="N21" s="80">
        <f>SUM(B21:M21)</f>
        <v>14719.325132000002</v>
      </c>
    </row>
    <row r="22" spans="1:14">
      <c r="A22" s="8"/>
      <c r="B22" s="75"/>
      <c r="C22" s="75"/>
      <c r="D22" s="75"/>
      <c r="E22" s="75"/>
      <c r="F22" s="75"/>
      <c r="G22" s="75"/>
      <c r="N22" s="77"/>
    </row>
    <row r="23" spans="1:14">
      <c r="A23" s="6" t="s">
        <v>32</v>
      </c>
      <c r="B23" s="78"/>
      <c r="C23" s="78"/>
      <c r="D23" s="78"/>
      <c r="E23" s="78"/>
      <c r="F23" s="78"/>
      <c r="G23" s="78"/>
      <c r="H23" s="78"/>
      <c r="I23" s="79"/>
      <c r="J23" s="79"/>
      <c r="K23" s="79"/>
      <c r="L23" s="79"/>
      <c r="M23" s="79"/>
      <c r="N23" s="77"/>
    </row>
    <row r="24" spans="1:14">
      <c r="A24" s="8" t="s">
        <v>33</v>
      </c>
      <c r="B24" s="75">
        <v>1030.5</v>
      </c>
      <c r="C24" s="75">
        <v>1116.9929999999999</v>
      </c>
      <c r="D24" s="75">
        <v>1075.336</v>
      </c>
      <c r="E24" s="75">
        <v>1121.8240000000001</v>
      </c>
      <c r="F24" s="75">
        <v>1079.0899999999999</v>
      </c>
      <c r="G24" s="75">
        <v>1127.9789999999998</v>
      </c>
      <c r="H24" s="75">
        <v>1125</v>
      </c>
      <c r="I24" s="76">
        <v>966.06100000000004</v>
      </c>
      <c r="J24" s="76">
        <v>780.05099999999993</v>
      </c>
      <c r="K24" s="76">
        <v>1119.932</v>
      </c>
      <c r="L24" s="76">
        <v>1033.6689999999999</v>
      </c>
      <c r="M24" s="76">
        <v>1111.366</v>
      </c>
      <c r="N24" s="77">
        <f>SUM(B24:M24)</f>
        <v>12687.800999999999</v>
      </c>
    </row>
    <row r="25" spans="1:14">
      <c r="A25" s="8" t="s">
        <v>65</v>
      </c>
      <c r="B25" s="75">
        <v>713.54499999999996</v>
      </c>
      <c r="C25" s="75">
        <v>797.56200000000001</v>
      </c>
      <c r="D25" s="75">
        <v>799.17899999999997</v>
      </c>
      <c r="E25" s="75">
        <v>800.50300000000004</v>
      </c>
      <c r="F25" s="75">
        <v>671.18200000000002</v>
      </c>
      <c r="G25" s="75">
        <v>655.09339</v>
      </c>
      <c r="H25" s="75">
        <v>688</v>
      </c>
      <c r="I25" s="76">
        <v>697.90300000000002</v>
      </c>
      <c r="J25" s="76">
        <v>712.03572099999997</v>
      </c>
      <c r="K25" s="76">
        <v>748.43032299999993</v>
      </c>
      <c r="L25" s="76">
        <v>679.4692</v>
      </c>
      <c r="M25" s="76">
        <v>735.06734699999993</v>
      </c>
      <c r="N25" s="77">
        <f>SUM(B25:M25)</f>
        <v>8697.9699810000002</v>
      </c>
    </row>
    <row r="26" spans="1:14">
      <c r="A26" s="8" t="s">
        <v>66</v>
      </c>
      <c r="B26" s="81">
        <v>0</v>
      </c>
      <c r="C26" s="81">
        <v>40.86</v>
      </c>
      <c r="D26" s="81">
        <v>151.244</v>
      </c>
      <c r="E26" s="81">
        <v>233</v>
      </c>
      <c r="F26" s="81">
        <v>220</v>
      </c>
      <c r="G26" s="81">
        <v>221.000055</v>
      </c>
      <c r="H26" s="81">
        <v>250</v>
      </c>
      <c r="I26" s="82">
        <v>237</v>
      </c>
      <c r="J26" s="76">
        <v>250.00000261999995</v>
      </c>
      <c r="K26" s="76">
        <v>223</v>
      </c>
      <c r="L26" s="76">
        <v>206.3</v>
      </c>
      <c r="M26" s="76">
        <v>218</v>
      </c>
      <c r="N26" s="77">
        <f>SUM(B26:M26)</f>
        <v>2250.40405762</v>
      </c>
    </row>
    <row r="27" spans="1:14">
      <c r="A27" s="6" t="s">
        <v>35</v>
      </c>
      <c r="B27" s="78">
        <f>SUM(B24:B26)</f>
        <v>1744.0450000000001</v>
      </c>
      <c r="C27" s="78">
        <f t="shared" ref="C27:M27" si="3">SUM(C24:C26)</f>
        <v>1955.4149999999997</v>
      </c>
      <c r="D27" s="78">
        <f t="shared" si="3"/>
        <v>2025.7589999999998</v>
      </c>
      <c r="E27" s="78">
        <f t="shared" si="3"/>
        <v>2155.3270000000002</v>
      </c>
      <c r="F27" s="78">
        <f t="shared" si="3"/>
        <v>1970.2719999999999</v>
      </c>
      <c r="G27" s="78">
        <f t="shared" si="3"/>
        <v>2004.0724449999998</v>
      </c>
      <c r="H27" s="78">
        <f t="shared" si="3"/>
        <v>2063</v>
      </c>
      <c r="I27" s="78">
        <f t="shared" si="3"/>
        <v>1900.9639999999999</v>
      </c>
      <c r="J27" s="78">
        <f t="shared" si="3"/>
        <v>1742.0867236199999</v>
      </c>
      <c r="K27" s="78">
        <f t="shared" si="3"/>
        <v>2091.3623229999998</v>
      </c>
      <c r="L27" s="78">
        <f t="shared" si="3"/>
        <v>1919.4381999999998</v>
      </c>
      <c r="M27" s="78">
        <f t="shared" si="3"/>
        <v>2064.4333470000001</v>
      </c>
      <c r="N27" s="80">
        <f>SUM(B27:M27)</f>
        <v>23636.17503862</v>
      </c>
    </row>
    <row r="28" spans="1:14">
      <c r="A28" s="6"/>
      <c r="B28" s="78"/>
      <c r="C28" s="78"/>
      <c r="D28" s="78"/>
      <c r="E28" s="78"/>
      <c r="F28" s="78"/>
      <c r="G28" s="78"/>
      <c r="H28" s="78"/>
      <c r="I28" s="79"/>
      <c r="J28" s="79"/>
      <c r="K28" s="79"/>
      <c r="L28" s="79"/>
      <c r="M28" s="79"/>
      <c r="N28" s="77"/>
    </row>
    <row r="29" spans="1:14">
      <c r="A29" s="6" t="s">
        <v>36</v>
      </c>
      <c r="B29" s="78"/>
      <c r="C29" s="78"/>
      <c r="D29" s="78"/>
      <c r="E29" s="78"/>
      <c r="F29" s="78"/>
      <c r="G29" s="78"/>
      <c r="H29" s="78"/>
      <c r="I29" s="79"/>
      <c r="J29" s="79"/>
      <c r="K29" s="79"/>
      <c r="L29" s="79"/>
      <c r="M29" s="79"/>
      <c r="N29" s="77"/>
    </row>
    <row r="30" spans="1:14">
      <c r="A30" s="8" t="s">
        <v>37</v>
      </c>
      <c r="B30" s="75">
        <v>863.13499999999999</v>
      </c>
      <c r="C30" s="75">
        <v>774.601</v>
      </c>
      <c r="D30" s="75">
        <v>879.08199999999999</v>
      </c>
      <c r="E30" s="75">
        <v>897.178</v>
      </c>
      <c r="F30" s="75">
        <v>820.98599999999999</v>
      </c>
      <c r="G30" s="75">
        <v>885.02857879999988</v>
      </c>
      <c r="H30" s="75">
        <v>937</v>
      </c>
      <c r="I30" s="76">
        <v>801.75699999999995</v>
      </c>
      <c r="J30" s="76">
        <v>888.20778807028398</v>
      </c>
      <c r="K30" s="76">
        <v>881.81828037028401</v>
      </c>
      <c r="L30" s="76">
        <v>803.55465387028391</v>
      </c>
      <c r="M30" s="76">
        <v>921.37707087028389</v>
      </c>
      <c r="N30" s="77">
        <f>SUM(B30:M30)</f>
        <v>10353.725371981134</v>
      </c>
    </row>
    <row r="31" spans="1:14">
      <c r="A31" s="8" t="s">
        <v>38</v>
      </c>
      <c r="B31" s="75">
        <v>39.616999999999997</v>
      </c>
      <c r="C31" s="75">
        <v>43.072000000000003</v>
      </c>
      <c r="D31" s="75">
        <v>54.970999999999997</v>
      </c>
      <c r="E31" s="75">
        <v>54.786000000000001</v>
      </c>
      <c r="F31" s="75">
        <v>48.192</v>
      </c>
      <c r="G31" s="75">
        <v>56.036000000000001</v>
      </c>
      <c r="H31" s="75">
        <v>62</v>
      </c>
      <c r="I31" s="76">
        <v>61.070999999999998</v>
      </c>
      <c r="J31" s="76">
        <v>71.613</v>
      </c>
      <c r="K31" s="76">
        <v>62.409000000000006</v>
      </c>
      <c r="L31" s="76">
        <v>79.271999999999991</v>
      </c>
      <c r="M31" s="76">
        <v>72.777999999999992</v>
      </c>
      <c r="N31" s="77">
        <f>SUM(B31:M31)</f>
        <v>705.81700000000001</v>
      </c>
    </row>
    <row r="32" spans="1:14">
      <c r="A32" s="6" t="s">
        <v>39</v>
      </c>
      <c r="B32" s="78">
        <f>SUM(B30:B31)</f>
        <v>902.75199999999995</v>
      </c>
      <c r="C32" s="78">
        <f>SUM(C30:C31)</f>
        <v>817.673</v>
      </c>
      <c r="D32" s="78">
        <f>SUM(D30:D31)</f>
        <v>934.053</v>
      </c>
      <c r="E32" s="78">
        <f>SUM(E30:E31)</f>
        <v>951.96399999999994</v>
      </c>
      <c r="F32" s="78">
        <f>SUM(F30:F31)</f>
        <v>869.178</v>
      </c>
      <c r="G32" s="78">
        <v>941.06457879999994</v>
      </c>
      <c r="H32" s="78">
        <f t="shared" ref="H32:M32" si="4">H30+H31</f>
        <v>999</v>
      </c>
      <c r="I32" s="79">
        <f t="shared" si="4"/>
        <v>862.82799999999997</v>
      </c>
      <c r="J32" s="79">
        <f t="shared" si="4"/>
        <v>959.82078807028392</v>
      </c>
      <c r="K32" s="79">
        <f t="shared" si="4"/>
        <v>944.22728037028401</v>
      </c>
      <c r="L32" s="79">
        <f t="shared" si="4"/>
        <v>882.82665387028396</v>
      </c>
      <c r="M32" s="79">
        <f t="shared" si="4"/>
        <v>994.15507087028391</v>
      </c>
      <c r="N32" s="80">
        <f>SUM(B32:M32)</f>
        <v>11059.542371981135</v>
      </c>
    </row>
    <row r="34" spans="1:14">
      <c r="A34" s="6" t="s">
        <v>40</v>
      </c>
      <c r="B34" s="78"/>
      <c r="C34" s="78"/>
      <c r="D34" s="78"/>
      <c r="E34" s="78"/>
      <c r="F34" s="78"/>
      <c r="G34" s="78"/>
      <c r="H34" s="78"/>
      <c r="I34" s="79"/>
      <c r="J34" s="76"/>
      <c r="K34" s="76"/>
      <c r="L34" s="76"/>
      <c r="M34" s="76"/>
      <c r="N34" s="77"/>
    </row>
    <row r="35" spans="1:14">
      <c r="A35" s="8" t="s">
        <v>41</v>
      </c>
      <c r="B35" s="75">
        <v>5.1989999999999998</v>
      </c>
      <c r="C35" s="75">
        <v>5.0529999999999999</v>
      </c>
      <c r="D35" s="75">
        <v>3.27</v>
      </c>
      <c r="E35" s="75">
        <v>6.2489999999999997</v>
      </c>
      <c r="F35" s="75">
        <v>5.0220000000000002</v>
      </c>
      <c r="G35" s="75">
        <v>5.7350000000000003</v>
      </c>
      <c r="H35" s="75">
        <v>6.0190000000000001</v>
      </c>
      <c r="I35" s="76">
        <v>6.0190000000000001</v>
      </c>
      <c r="J35" s="76">
        <v>6.194</v>
      </c>
      <c r="K35" s="76">
        <v>5.91</v>
      </c>
      <c r="L35" s="76">
        <v>6.274</v>
      </c>
      <c r="M35" s="76">
        <v>7.5339999999999998</v>
      </c>
      <c r="N35" s="77">
        <f>SUM(B35:M35)</f>
        <v>68.478000000000009</v>
      </c>
    </row>
    <row r="36" spans="1:14">
      <c r="A36" s="8" t="s">
        <v>42</v>
      </c>
      <c r="B36" s="75">
        <v>990.92200000000003</v>
      </c>
      <c r="C36" s="75">
        <v>928.33</v>
      </c>
      <c r="D36" s="75">
        <v>1088.2909999999999</v>
      </c>
      <c r="E36" s="75">
        <v>1133.2460000000001</v>
      </c>
      <c r="F36" s="75">
        <v>878.63400000000001</v>
      </c>
      <c r="G36" s="75">
        <v>772.02499999999998</v>
      </c>
      <c r="H36" s="75">
        <v>1200.684</v>
      </c>
      <c r="I36" s="76">
        <v>1137.009</v>
      </c>
      <c r="J36" s="76">
        <v>1190.6960000000001</v>
      </c>
      <c r="K36" s="76">
        <v>1146.748</v>
      </c>
      <c r="L36" s="76">
        <v>1007.692</v>
      </c>
      <c r="M36" s="76">
        <v>1188.0430000000001</v>
      </c>
      <c r="N36" s="77">
        <f>SUM(B36:M36)</f>
        <v>12662.319999999998</v>
      </c>
    </row>
    <row r="37" spans="1:14">
      <c r="A37" s="6" t="s">
        <v>43</v>
      </c>
      <c r="B37" s="78">
        <f>SUM(B35:B36)</f>
        <v>996.12099999999998</v>
      </c>
      <c r="C37" s="78">
        <f>SUM(C35:C36)</f>
        <v>933.38300000000004</v>
      </c>
      <c r="D37" s="78">
        <f>SUM(D35:D36)</f>
        <v>1091.5609999999999</v>
      </c>
      <c r="E37" s="78">
        <f>SUM(E35:E36)</f>
        <v>1139.4950000000001</v>
      </c>
      <c r="F37" s="78">
        <f>SUM(F35:F36)</f>
        <v>883.65600000000006</v>
      </c>
      <c r="G37" s="78">
        <v>777.76</v>
      </c>
      <c r="H37" s="78">
        <f t="shared" ref="H37:M37" si="5">H35+H36</f>
        <v>1206.703</v>
      </c>
      <c r="I37" s="79">
        <f t="shared" si="5"/>
        <v>1143.028</v>
      </c>
      <c r="J37" s="79">
        <f t="shared" si="5"/>
        <v>1196.8900000000001</v>
      </c>
      <c r="K37" s="79">
        <f t="shared" si="5"/>
        <v>1152.6580000000001</v>
      </c>
      <c r="L37" s="79">
        <f t="shared" si="5"/>
        <v>1013.966</v>
      </c>
      <c r="M37" s="79">
        <f t="shared" si="5"/>
        <v>1195.5770000000002</v>
      </c>
      <c r="N37" s="80">
        <f>SUM(B37:M37)</f>
        <v>12730.797999999999</v>
      </c>
    </row>
    <row r="38" spans="1:14">
      <c r="A38" s="8"/>
      <c r="B38" s="83"/>
      <c r="C38" s="83"/>
      <c r="D38" s="83"/>
      <c r="E38" s="83"/>
      <c r="F38" s="83"/>
      <c r="G38" s="83"/>
      <c r="H38" s="83"/>
      <c r="I38" s="84"/>
      <c r="J38" s="84"/>
      <c r="K38" s="84"/>
      <c r="L38" s="84"/>
      <c r="M38" s="84"/>
      <c r="N38" s="77"/>
    </row>
    <row r="39" spans="1:14">
      <c r="A39" s="6" t="s">
        <v>44</v>
      </c>
      <c r="B39" s="78"/>
      <c r="C39" s="78"/>
      <c r="D39" s="78"/>
      <c r="E39" s="78"/>
      <c r="F39" s="78"/>
      <c r="G39" s="78"/>
      <c r="H39" s="78"/>
      <c r="I39" s="79"/>
      <c r="J39" s="79"/>
      <c r="K39" s="79"/>
      <c r="L39" s="79"/>
      <c r="M39" s="79"/>
      <c r="N39" s="77"/>
    </row>
    <row r="40" spans="1:14">
      <c r="A40" s="8" t="s">
        <v>45</v>
      </c>
      <c r="B40" s="75">
        <v>2677.7550000000001</v>
      </c>
      <c r="C40" s="75">
        <v>2775.1550000000002</v>
      </c>
      <c r="D40" s="75">
        <v>2628.87</v>
      </c>
      <c r="E40" s="75">
        <v>2720.444</v>
      </c>
      <c r="F40" s="75">
        <v>2769.87</v>
      </c>
      <c r="G40" s="75">
        <v>2502</v>
      </c>
      <c r="H40" s="75">
        <v>2427</v>
      </c>
      <c r="I40" s="76">
        <v>1817.48</v>
      </c>
      <c r="J40" s="76">
        <v>2798</v>
      </c>
      <c r="K40" s="76">
        <v>2804</v>
      </c>
      <c r="L40" s="76">
        <v>2463</v>
      </c>
      <c r="M40" s="76">
        <v>2664</v>
      </c>
      <c r="N40" s="77">
        <f>SUM(B40:M40)</f>
        <v>31047.574000000001</v>
      </c>
    </row>
    <row r="41" spans="1:14">
      <c r="A41" s="8" t="s">
        <v>46</v>
      </c>
      <c r="B41" s="75">
        <v>2916</v>
      </c>
      <c r="C41" s="75">
        <v>3023</v>
      </c>
      <c r="D41" s="75">
        <v>2920</v>
      </c>
      <c r="E41" s="85">
        <v>3010</v>
      </c>
      <c r="F41" s="75">
        <v>3029</v>
      </c>
      <c r="G41" s="85">
        <v>2865.6579999999999</v>
      </c>
      <c r="H41" s="85">
        <v>3057</v>
      </c>
      <c r="I41" s="86">
        <v>2964.55</v>
      </c>
      <c r="J41" s="86">
        <v>3064</v>
      </c>
      <c r="K41" s="86">
        <v>3024</v>
      </c>
      <c r="L41" s="86">
        <v>2703</v>
      </c>
      <c r="M41" s="86">
        <v>2996</v>
      </c>
      <c r="N41" s="77">
        <f>SUM(B41:M41)</f>
        <v>35572.207999999999</v>
      </c>
    </row>
    <row r="42" spans="1:14">
      <c r="A42" s="6" t="s">
        <v>47</v>
      </c>
      <c r="B42" s="78">
        <f>+B40+B41</f>
        <v>5593.7550000000001</v>
      </c>
      <c r="C42" s="78">
        <f>+C40+C41</f>
        <v>5798.1550000000007</v>
      </c>
      <c r="D42" s="78">
        <f>+D40+D41</f>
        <v>5548.87</v>
      </c>
      <c r="E42" s="78">
        <f>+E40+E41</f>
        <v>5730.4439999999995</v>
      </c>
      <c r="F42" s="78">
        <f>F40+F41</f>
        <v>5798.87</v>
      </c>
      <c r="G42" s="78">
        <f>SUM(G40:G41)</f>
        <v>5367.6579999999994</v>
      </c>
      <c r="H42" s="78">
        <f t="shared" ref="H42:M42" si="6">H40+H41</f>
        <v>5484</v>
      </c>
      <c r="I42" s="78">
        <f t="shared" si="6"/>
        <v>4782.0300000000007</v>
      </c>
      <c r="J42" s="79">
        <f t="shared" si="6"/>
        <v>5862</v>
      </c>
      <c r="K42" s="79">
        <f t="shared" si="6"/>
        <v>5828</v>
      </c>
      <c r="L42" s="79">
        <f t="shared" si="6"/>
        <v>5166</v>
      </c>
      <c r="M42" s="79">
        <f t="shared" si="6"/>
        <v>5660</v>
      </c>
      <c r="N42" s="80">
        <f>SUM(B42:M42)</f>
        <v>66619.781999999992</v>
      </c>
    </row>
    <row r="43" spans="1:14">
      <c r="A43" s="8"/>
      <c r="B43" s="75"/>
      <c r="C43" s="75"/>
      <c r="D43" s="75"/>
      <c r="E43" s="75"/>
      <c r="F43" s="75"/>
      <c r="G43" s="75"/>
      <c r="H43" s="75"/>
      <c r="I43" s="76"/>
      <c r="J43" s="76"/>
      <c r="K43" s="76"/>
      <c r="L43" s="76"/>
      <c r="M43" s="76"/>
      <c r="N43" s="80"/>
    </row>
    <row r="44" spans="1:14">
      <c r="A44" s="8" t="s">
        <v>48</v>
      </c>
      <c r="B44" s="78">
        <v>1199.665</v>
      </c>
      <c r="C44" s="78">
        <v>1258.28</v>
      </c>
      <c r="D44" s="78">
        <v>1219.425</v>
      </c>
      <c r="E44" s="78">
        <v>1245</v>
      </c>
      <c r="F44" s="78">
        <v>1231.79</v>
      </c>
      <c r="G44" s="78">
        <v>1217.2720431170001</v>
      </c>
      <c r="H44" s="78">
        <v>1260</v>
      </c>
      <c r="I44" s="79">
        <v>1215.989</v>
      </c>
      <c r="J44" s="79">
        <v>1256.6283619999999</v>
      </c>
      <c r="K44" s="79">
        <v>1259.6471530000001</v>
      </c>
      <c r="L44" s="79">
        <v>1138.7929999999999</v>
      </c>
      <c r="M44" s="79">
        <v>1253.5</v>
      </c>
      <c r="N44" s="80">
        <f>SUM(B44:M44)</f>
        <v>14755.989558116999</v>
      </c>
    </row>
    <row r="45" spans="1:14">
      <c r="A45" s="8"/>
      <c r="B45" s="75"/>
      <c r="C45" s="75"/>
      <c r="D45" s="75"/>
      <c r="E45" s="75"/>
      <c r="F45" s="75"/>
      <c r="G45" s="75"/>
      <c r="H45" s="75"/>
      <c r="I45" s="76"/>
      <c r="J45" s="76"/>
      <c r="K45" s="76"/>
      <c r="L45" s="76"/>
      <c r="M45" s="76"/>
      <c r="N45" s="80"/>
    </row>
    <row r="46" spans="1:14">
      <c r="A46" s="6" t="s">
        <v>49</v>
      </c>
      <c r="B46" s="78">
        <f>+B16+B21+B27+B32+B37+B42+B44</f>
        <v>16124.044999999998</v>
      </c>
      <c r="C46" s="78">
        <f t="shared" ref="C46:M46" si="7">+C16+C21+C27+C32+C37+C42+C44</f>
        <v>16349.424000000001</v>
      </c>
      <c r="D46" s="78">
        <f t="shared" si="7"/>
        <v>16099.392</v>
      </c>
      <c r="E46" s="78">
        <f t="shared" si="7"/>
        <v>16562.226000000002</v>
      </c>
      <c r="F46" s="78">
        <f t="shared" si="7"/>
        <v>16155.828000000001</v>
      </c>
      <c r="G46" s="78">
        <f t="shared" si="7"/>
        <v>14718.982010917</v>
      </c>
      <c r="H46" s="78">
        <f t="shared" si="7"/>
        <v>16323.131047000001</v>
      </c>
      <c r="I46" s="78">
        <f t="shared" si="7"/>
        <v>15616.002</v>
      </c>
      <c r="J46" s="78">
        <f t="shared" si="7"/>
        <v>17437.270109690282</v>
      </c>
      <c r="K46" s="78">
        <f t="shared" si="7"/>
        <v>17669.128097370285</v>
      </c>
      <c r="L46" s="78">
        <f t="shared" si="7"/>
        <v>15774.254381870283</v>
      </c>
      <c r="M46" s="78">
        <f t="shared" si="7"/>
        <v>17655.807453870282</v>
      </c>
      <c r="N46" s="80">
        <f>SUM(B46:M46)</f>
        <v>196485.49010071813</v>
      </c>
    </row>
    <row r="47" spans="1:14">
      <c r="A47" s="87" t="s">
        <v>68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</row>
    <row r="48" spans="1:14" ht="10.5" customHeight="1">
      <c r="A48" s="89" t="s">
        <v>69</v>
      </c>
      <c r="B48" s="90"/>
      <c r="C48" s="90"/>
      <c r="D48" s="90"/>
      <c r="E48" s="91"/>
      <c r="F48" s="91"/>
      <c r="G48" s="91"/>
      <c r="H48" s="92"/>
      <c r="I48" s="92"/>
      <c r="J48" s="92"/>
      <c r="K48" s="92"/>
      <c r="L48" s="92"/>
      <c r="M48" s="92"/>
      <c r="N48" s="93"/>
    </row>
    <row r="49" spans="1:14" ht="12" customHeight="1">
      <c r="A49" s="267"/>
      <c r="B49" s="268"/>
      <c r="C49" s="268"/>
      <c r="D49" s="268"/>
      <c r="E49" s="268"/>
      <c r="F49" s="268"/>
      <c r="G49" s="268"/>
      <c r="H49" s="268"/>
      <c r="I49" s="268"/>
      <c r="J49" s="268"/>
      <c r="K49" s="268"/>
      <c r="L49" s="268"/>
      <c r="M49" s="268"/>
      <c r="N49" s="269"/>
    </row>
  </sheetData>
  <mergeCells count="3">
    <mergeCell ref="A4:N4"/>
    <mergeCell ref="A5:C5"/>
    <mergeCell ref="A49:N49"/>
  </mergeCells>
  <printOptions horizontalCentered="1"/>
  <pageMargins left="0.45" right="0.45" top="0.85" bottom="0.2" header="0.3" footer="0.3"/>
  <pageSetup scale="76" orientation="landscape" horizontalDpi="300" verticalDpi="300" r:id="rId1"/>
  <headerFooter>
    <oddFooter>&amp;C[&amp;A] - [Page &amp;P of &amp;N]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कार्यपत्रक</vt:lpstr>
      </vt:variant>
      <vt:variant>
        <vt:i4>16</vt:i4>
      </vt:variant>
      <vt:variant>
        <vt:lpstr>नामित श्रेणियाँ</vt:lpstr>
      </vt:variant>
      <vt:variant>
        <vt:i4>1</vt:i4>
      </vt:variant>
    </vt:vector>
  </HeadingPairs>
  <TitlesOfParts>
    <vt:vector size="17" baseType="lpstr">
      <vt:lpstr>PT_CRUDE_H</vt:lpstr>
      <vt:lpstr>Monthwise 2024-25 (P)</vt:lpstr>
      <vt:lpstr>Monthwise 2023-24 (P)</vt:lpstr>
      <vt:lpstr>Monthwise 2022-23</vt:lpstr>
      <vt:lpstr>Monthwise 2021-22 </vt:lpstr>
      <vt:lpstr>Monthwise 2020-21</vt:lpstr>
      <vt:lpstr>Monthwise 2019-20</vt:lpstr>
      <vt:lpstr>Monthwise 2018-19</vt:lpstr>
      <vt:lpstr>Monthwise 2017-18</vt:lpstr>
      <vt:lpstr>Monthwise 2016-17 </vt:lpstr>
      <vt:lpstr>Monthwise 2015-16</vt:lpstr>
      <vt:lpstr>Monthwise 2014-15</vt:lpstr>
      <vt:lpstr>Monthwise 2013-14</vt:lpstr>
      <vt:lpstr>Monthwise 2012-13</vt:lpstr>
      <vt:lpstr>Monthwise 2011-12</vt:lpstr>
      <vt:lpstr>Monthwise 2010-11</vt:lpstr>
      <vt:lpstr>'Monthwise 2015-16'!Print_Area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Singh</dc:creator>
  <cp:lastModifiedBy>Parth Sarthi</cp:lastModifiedBy>
  <cp:lastPrinted>2019-11-08T07:14:54Z</cp:lastPrinted>
  <dcterms:created xsi:type="dcterms:W3CDTF">2012-06-01T08:31:53Z</dcterms:created>
  <dcterms:modified xsi:type="dcterms:W3CDTF">2026-08-28T13:29:06Z</dcterms:modified>
</cp:coreProperties>
</file>